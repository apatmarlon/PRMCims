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DYC-edited\"/>
    </mc:Choice>
  </mc:AlternateContent>
  <xr:revisionPtr revIDLastSave="0" documentId="13_ncr:1_{D70D2F48-C853-40C8-88FC-35B5D3E7652E}" xr6:coauthVersionLast="47" xr6:coauthVersionMax="47" xr10:uidLastSave="{00000000-0000-0000-0000-000000000000}"/>
  <bookViews>
    <workbookView xWindow="4425" yWindow="1980" windowWidth="30930" windowHeight="16800" activeTab="1" xr2:uid="{0D0703C3-CB31-4B5D-B85A-7136E5042A2E}"/>
  </bookViews>
  <sheets>
    <sheet name="YEAR 2024" sheetId="15" r:id="rId1"/>
    <sheet name="YEAR 2025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E120" i="2"/>
  <c r="G11" i="2"/>
  <c r="G12" i="2" s="1"/>
  <c r="G64" i="15"/>
  <c r="G65" i="15" s="1"/>
  <c r="G66" i="15" s="1"/>
  <c r="G67" i="15" s="1"/>
  <c r="G68" i="15" s="1"/>
  <c r="G69" i="15" s="1"/>
  <c r="G70" i="15" s="1"/>
  <c r="G71" i="15" s="1"/>
  <c r="G72" i="15" s="1"/>
  <c r="G73" i="15" s="1"/>
  <c r="G74" i="15" s="1"/>
  <c r="G75" i="15" s="1"/>
  <c r="G76" i="15" s="1"/>
  <c r="G77" i="15" s="1"/>
  <c r="G78" i="15" s="1"/>
  <c r="G79" i="15" s="1"/>
  <c r="G80" i="15" s="1"/>
  <c r="G81" i="15" s="1"/>
  <c r="G82" i="15" s="1"/>
  <c r="G83" i="15" s="1"/>
  <c r="G84" i="15" s="1"/>
  <c r="G85" i="15" s="1"/>
  <c r="G86" i="15" s="1"/>
  <c r="G87" i="15" s="1"/>
  <c r="G88" i="15" s="1"/>
  <c r="G89" i="15" s="1"/>
  <c r="G90" i="15" s="1"/>
  <c r="G91" i="15" s="1"/>
  <c r="G92" i="15" s="1"/>
  <c r="G93" i="15" s="1"/>
  <c r="G94" i="15" s="1"/>
  <c r="G95" i="15" s="1"/>
  <c r="G96" i="15" s="1"/>
  <c r="G97" i="15" s="1"/>
  <c r="G98" i="15" s="1"/>
  <c r="G99" i="15" s="1"/>
  <c r="G100" i="15" s="1"/>
  <c r="G101" i="15" s="1"/>
  <c r="G102" i="15" s="1"/>
  <c r="G103" i="15" s="1"/>
  <c r="G104" i="15" s="1"/>
  <c r="G105" i="15" s="1"/>
  <c r="G106" i="15" s="1"/>
  <c r="G107" i="15" s="1"/>
  <c r="G108" i="15" s="1"/>
  <c r="G109" i="15" s="1"/>
  <c r="G110" i="15" s="1"/>
  <c r="G111" i="15" s="1"/>
  <c r="G112" i="15" s="1"/>
  <c r="G113" i="15" s="1"/>
  <c r="G114" i="15" s="1"/>
  <c r="G115" i="15" s="1"/>
  <c r="G116" i="15" s="1"/>
  <c r="G117" i="15" s="1"/>
  <c r="G118" i="15" s="1"/>
  <c r="G119" i="15" s="1"/>
  <c r="G120" i="15" s="1"/>
  <c r="G121" i="15" s="1"/>
  <c r="G122" i="15" s="1"/>
  <c r="G123" i="15" s="1"/>
  <c r="G124" i="15" s="1"/>
  <c r="G125" i="15" s="1"/>
  <c r="G126" i="15" s="1"/>
  <c r="G127" i="15" s="1"/>
  <c r="G128" i="15" s="1"/>
  <c r="G129" i="15" s="1"/>
  <c r="G130" i="15" s="1"/>
  <c r="G131" i="15" s="1"/>
  <c r="G132" i="15" s="1"/>
  <c r="G133" i="15" s="1"/>
  <c r="G134" i="15" s="1"/>
  <c r="G135" i="15" s="1"/>
  <c r="G136" i="15" s="1"/>
  <c r="G137" i="15" s="1"/>
  <c r="G138" i="15" s="1"/>
  <c r="G139" i="15" s="1"/>
  <c r="G140" i="15" s="1"/>
  <c r="G141" i="15" s="1"/>
  <c r="G142" i="15" s="1"/>
  <c r="G143" i="15" s="1"/>
  <c r="G144" i="15" s="1"/>
  <c r="G145" i="15" s="1"/>
  <c r="G146" i="15" s="1"/>
  <c r="G147" i="15" s="1"/>
  <c r="G148" i="15" s="1"/>
  <c r="G149" i="15" s="1"/>
  <c r="G150" i="15" s="1"/>
  <c r="G151" i="15" s="1"/>
  <c r="G152" i="15" s="1"/>
  <c r="G153" i="15" s="1"/>
  <c r="E43" i="15"/>
  <c r="F156" i="15"/>
  <c r="E73" i="15"/>
  <c r="E54" i="15"/>
  <c r="E40" i="15"/>
  <c r="E30" i="15"/>
  <c r="G159" i="15" s="1"/>
  <c r="E9" i="15"/>
  <c r="E155" i="15" s="1"/>
  <c r="G157" i="15" l="1"/>
  <c r="G158" i="15" s="1"/>
  <c r="E11" i="2"/>
  <c r="G9" i="15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5" i="15" s="1"/>
  <c r="G46" i="15" s="1"/>
  <c r="G47" i="15" s="1"/>
  <c r="G48" i="15" s="1"/>
  <c r="G49" i="15" s="1"/>
  <c r="G50" i="15" s="1"/>
  <c r="G51" i="15" s="1"/>
  <c r="G52" i="15" s="1"/>
  <c r="G53" i="15" s="1"/>
  <c r="G54" i="15" s="1"/>
  <c r="G55" i="15" s="1"/>
  <c r="G56" i="15" s="1"/>
  <c r="G57" i="15" s="1"/>
  <c r="G58" i="15" s="1"/>
  <c r="G59" i="15" s="1"/>
  <c r="G60" i="15" s="1"/>
  <c r="G61" i="15" s="1"/>
  <c r="G62" i="15" s="1"/>
  <c r="G63" i="15" s="1"/>
  <c r="E93" i="2" l="1"/>
  <c r="E89" i="2"/>
  <c r="E84" i="2"/>
  <c r="E77" i="2"/>
  <c r="E57" i="2"/>
  <c r="E56" i="2"/>
  <c r="E26" i="2"/>
  <c r="F140" i="2" l="1"/>
  <c r="E139" i="2" l="1"/>
  <c r="G143" i="2" l="1"/>
  <c r="G141" i="2" l="1"/>
  <c r="G1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5" authorId="0" shapeId="0" xr:uid="{75640FF9-A09B-4F48-AE5C-00C2B18685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LGC</t>
        </r>
      </text>
    </comment>
    <comment ref="B61" authorId="0" shapeId="0" xr:uid="{536F517A-0A05-438C-BA94-15FB2F712B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LGC</t>
        </r>
      </text>
    </comment>
    <comment ref="B125" authorId="0" shapeId="0" xr:uid="{811866B9-F6E5-453F-8908-7F7E8F3ECC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LVC</t>
        </r>
      </text>
    </comment>
  </commentList>
</comments>
</file>

<file path=xl/sharedStrings.xml><?xml version="1.0" encoding="utf-8"?>
<sst xmlns="http://schemas.openxmlformats.org/spreadsheetml/2006/main" count="812" uniqueCount="443">
  <si>
    <t>Street Address</t>
  </si>
  <si>
    <t>Purok 5, Abaga Lala, Lanao del Norte</t>
  </si>
  <si>
    <t>Phone:</t>
  </si>
  <si>
    <t>0995-513-3076</t>
  </si>
  <si>
    <t>ZIP CODE</t>
  </si>
  <si>
    <t>E-mail:</t>
  </si>
  <si>
    <t>dyccarparts1064@gmail.com</t>
  </si>
  <si>
    <t>Statement Of Account Summary</t>
  </si>
  <si>
    <t>Bill To:</t>
  </si>
  <si>
    <t>MOTECH BUKIDNON</t>
  </si>
  <si>
    <t>GALLANT ASIA CAR CLINIC</t>
  </si>
  <si>
    <t>Date</t>
  </si>
  <si>
    <t>REF. #</t>
  </si>
  <si>
    <t>DUE DATE</t>
  </si>
  <si>
    <t>Description</t>
  </si>
  <si>
    <t>Amount Billed</t>
  </si>
  <si>
    <t>Payment</t>
  </si>
  <si>
    <t>Balance</t>
  </si>
  <si>
    <t>BEG.</t>
  </si>
  <si>
    <t>FORWARDED BALANCE</t>
  </si>
  <si>
    <t>01/02/2024</t>
  </si>
  <si>
    <t>977</t>
  </si>
  <si>
    <t>PAYMENT</t>
  </si>
  <si>
    <t>01/03/2024</t>
  </si>
  <si>
    <t>981</t>
  </si>
  <si>
    <t>01/04/2024</t>
  </si>
  <si>
    <t>983</t>
  </si>
  <si>
    <t>01/085/2024</t>
  </si>
  <si>
    <t>987</t>
  </si>
  <si>
    <t>01/08/2024</t>
  </si>
  <si>
    <t>988</t>
  </si>
  <si>
    <t>01/15/2024</t>
  </si>
  <si>
    <t>994</t>
  </si>
  <si>
    <t>01/23/2024</t>
  </si>
  <si>
    <t>1000</t>
  </si>
  <si>
    <t>01/11/2024</t>
  </si>
  <si>
    <t>DR-2493</t>
  </si>
  <si>
    <t>03/11/2024</t>
  </si>
  <si>
    <t>OIL</t>
  </si>
  <si>
    <t>01/26/2024</t>
  </si>
  <si>
    <t>DR-2619</t>
  </si>
  <si>
    <t>03/26/2024</t>
  </si>
  <si>
    <t>OIL &amp; SPAREPARTS</t>
  </si>
  <si>
    <t>DR-2618</t>
  </si>
  <si>
    <t>01/29/2024</t>
  </si>
  <si>
    <t>DR-2646</t>
  </si>
  <si>
    <t>03/29/2024</t>
  </si>
  <si>
    <t>02/06/2024</t>
  </si>
  <si>
    <t>DR-2719</t>
  </si>
  <si>
    <t>04/06/2024</t>
  </si>
  <si>
    <t>DR-2718</t>
  </si>
  <si>
    <t>02/12/2024</t>
  </si>
  <si>
    <t>02/16/2024</t>
  </si>
  <si>
    <t>02/20/2024</t>
  </si>
  <si>
    <t>02/28/2024</t>
  </si>
  <si>
    <t>03/04/2024</t>
  </si>
  <si>
    <t>DR-2923</t>
  </si>
  <si>
    <t>05/04/2024</t>
  </si>
  <si>
    <t>DR-2928</t>
  </si>
  <si>
    <t>DR-2929</t>
  </si>
  <si>
    <t>03/05/2024</t>
  </si>
  <si>
    <t>DR-2937</t>
  </si>
  <si>
    <t>05/05/2024</t>
  </si>
  <si>
    <t>03/06/2024</t>
  </si>
  <si>
    <t>03/08/2024</t>
  </si>
  <si>
    <t>DR-2960</t>
  </si>
  <si>
    <t>05/08/2024</t>
  </si>
  <si>
    <t>03/15/2024</t>
  </si>
  <si>
    <t>03/19/2024</t>
  </si>
  <si>
    <t>DR-3062</t>
  </si>
  <si>
    <t>05/19/2024</t>
  </si>
  <si>
    <t>03/21/2024</t>
  </si>
  <si>
    <t>03/27/2024</t>
  </si>
  <si>
    <t>05/13/2024</t>
  </si>
  <si>
    <t>05/16/2024</t>
  </si>
  <si>
    <t>05/20/2024</t>
  </si>
  <si>
    <t>05/23/2024</t>
  </si>
  <si>
    <t>05/24/2024</t>
  </si>
  <si>
    <t>05/27/2024</t>
  </si>
  <si>
    <t>06/14/2024</t>
  </si>
  <si>
    <t>06/18/2024</t>
  </si>
  <si>
    <t>06/20/2024</t>
  </si>
  <si>
    <t>06/24/2024</t>
  </si>
  <si>
    <t>06/27/2024</t>
  </si>
  <si>
    <t>07/01/2024</t>
  </si>
  <si>
    <t>07/05/2024</t>
  </si>
  <si>
    <t>07/08/2024</t>
  </si>
  <si>
    <t>07/09/2024</t>
  </si>
  <si>
    <t>07/11/2024</t>
  </si>
  <si>
    <t>07/15/2024</t>
  </si>
  <si>
    <t>07/23/2024</t>
  </si>
  <si>
    <t>DR-4197</t>
  </si>
  <si>
    <t>10/23/2024</t>
  </si>
  <si>
    <t>OILS &amp; SPAREPARTS</t>
  </si>
  <si>
    <t>DR-4198</t>
  </si>
  <si>
    <t>SPAREPARTS</t>
  </si>
  <si>
    <t>DR-4199</t>
  </si>
  <si>
    <t>OILS</t>
  </si>
  <si>
    <t>07/25/2024</t>
  </si>
  <si>
    <t>07/29/2024</t>
  </si>
  <si>
    <t>07/31/2024</t>
  </si>
  <si>
    <t>08/01/2024</t>
  </si>
  <si>
    <t>1235</t>
  </si>
  <si>
    <t>08/05/2025</t>
  </si>
  <si>
    <t>1239</t>
  </si>
  <si>
    <t>08/05/2024</t>
  </si>
  <si>
    <t>1242</t>
  </si>
  <si>
    <t>08/09/2024</t>
  </si>
  <si>
    <t>08/12/2024</t>
  </si>
  <si>
    <t>08/14/2024</t>
  </si>
  <si>
    <t>DR-4371</t>
  </si>
  <si>
    <t>11/14/2024</t>
  </si>
  <si>
    <t>08/15/2024</t>
  </si>
  <si>
    <t>08/16/2024</t>
  </si>
  <si>
    <t>08/19/2024</t>
  </si>
  <si>
    <t>08/22/2024</t>
  </si>
  <si>
    <t>08/27/2024</t>
  </si>
  <si>
    <t>08/29/2024</t>
  </si>
  <si>
    <t>08/28/2024</t>
  </si>
  <si>
    <t>09/03/2024</t>
  </si>
  <si>
    <t>1266</t>
  </si>
  <si>
    <t>09/09/2024</t>
  </si>
  <si>
    <t>1287</t>
  </si>
  <si>
    <t>09/11/2024</t>
  </si>
  <si>
    <t>1290</t>
  </si>
  <si>
    <t>09/12/2024</t>
  </si>
  <si>
    <t>1291</t>
  </si>
  <si>
    <t>09/16/2024</t>
  </si>
  <si>
    <t>1294</t>
  </si>
  <si>
    <t>09/26/2024</t>
  </si>
  <si>
    <t>1304</t>
  </si>
  <si>
    <t>09/27/2024</t>
  </si>
  <si>
    <t>1308</t>
  </si>
  <si>
    <t>12/27/2024</t>
  </si>
  <si>
    <t>10/03/2024</t>
  </si>
  <si>
    <t>DR-4703</t>
  </si>
  <si>
    <t>01/03/2025</t>
  </si>
  <si>
    <t>10/18/2024</t>
  </si>
  <si>
    <t>DR-4813</t>
  </si>
  <si>
    <t>01/18/2025</t>
  </si>
  <si>
    <t>10/21/2024</t>
  </si>
  <si>
    <t>DR-4837</t>
  </si>
  <si>
    <t>01/18/2024</t>
  </si>
  <si>
    <t>11/18/2024</t>
  </si>
  <si>
    <t>DR-5085</t>
  </si>
  <si>
    <t>02/18/2025</t>
  </si>
  <si>
    <t>OILS &amp; SPARESPARTS</t>
  </si>
  <si>
    <t>12/02/2024</t>
  </si>
  <si>
    <t>12/03/2024</t>
  </si>
  <si>
    <t>12/09/2024</t>
  </si>
  <si>
    <t>12/11/2024</t>
  </si>
  <si>
    <t>12/13/2024</t>
  </si>
  <si>
    <t>DR-5376</t>
  </si>
  <si>
    <t>03/13/2025</t>
  </si>
  <si>
    <t>12/16/2024</t>
  </si>
  <si>
    <t>12/17/2024</t>
  </si>
  <si>
    <t>12/18/2024</t>
  </si>
  <si>
    <t>12/19/2024</t>
  </si>
  <si>
    <t>LVC</t>
  </si>
  <si>
    <t>12/21/2024</t>
  </si>
  <si>
    <t>DR-5446</t>
  </si>
  <si>
    <t>PARTS</t>
  </si>
  <si>
    <t>12/23/2024</t>
  </si>
  <si>
    <t>TOTAL RECEIVABLE</t>
  </si>
  <si>
    <t>LESS TOTAL PAYMENT</t>
  </si>
  <si>
    <t>TOTAL AMOUNT DUE</t>
  </si>
  <si>
    <t>TOTAL AMOUNT OVERDUE</t>
  </si>
  <si>
    <t>TOTAL AMOUNT BEFORE DUE DATE</t>
  </si>
  <si>
    <t>0975-564-1064</t>
  </si>
  <si>
    <t>Bill To:MOTECH BUKIDNON</t>
  </si>
  <si>
    <t>01/20/2025</t>
  </si>
  <si>
    <t>DR-5709</t>
  </si>
  <si>
    <t>DR-5710</t>
  </si>
  <si>
    <t>DR-5711</t>
  </si>
  <si>
    <t>DR-5713</t>
  </si>
  <si>
    <t>04/20/2025</t>
  </si>
  <si>
    <t>01/31/2025</t>
  </si>
  <si>
    <t>DR-5805</t>
  </si>
  <si>
    <t>04/31/2025</t>
  </si>
  <si>
    <t>01/02/2025</t>
  </si>
  <si>
    <t>01/07/2025</t>
  </si>
  <si>
    <t>01/10/2025</t>
  </si>
  <si>
    <t>01/13/2025</t>
  </si>
  <si>
    <t>01/17/2025</t>
  </si>
  <si>
    <t>01/21/2025</t>
  </si>
  <si>
    <t>01/27/2025</t>
  </si>
  <si>
    <t>01/24/2025</t>
  </si>
  <si>
    <t>01/30/2025</t>
  </si>
  <si>
    <t>10/02/2024</t>
  </si>
  <si>
    <t>1311</t>
  </si>
  <si>
    <t>1313</t>
  </si>
  <si>
    <t>10/07/2024</t>
  </si>
  <si>
    <t>10/09/2024</t>
  </si>
  <si>
    <t>10/11/2024</t>
  </si>
  <si>
    <t>10/14/2024</t>
  </si>
  <si>
    <t>10/15/2024</t>
  </si>
  <si>
    <t>10/17/2024</t>
  </si>
  <si>
    <t>10/25/2024</t>
  </si>
  <si>
    <t>10/28/2024</t>
  </si>
  <si>
    <t>10/30/2024</t>
  </si>
  <si>
    <t>11/04/2024</t>
  </si>
  <si>
    <t>1359</t>
  </si>
  <si>
    <t>11/05/2024</t>
  </si>
  <si>
    <t>1361</t>
  </si>
  <si>
    <t>11/06/2024</t>
  </si>
  <si>
    <t>1364</t>
  </si>
  <si>
    <t>11/07/2024</t>
  </si>
  <si>
    <t>1366</t>
  </si>
  <si>
    <t>11/07/22024</t>
  </si>
  <si>
    <t>1367</t>
  </si>
  <si>
    <t>11/08/2024</t>
  </si>
  <si>
    <t>1371</t>
  </si>
  <si>
    <t>11/11/2024</t>
  </si>
  <si>
    <t>1372</t>
  </si>
  <si>
    <t>1378</t>
  </si>
  <si>
    <t>11/15/2024</t>
  </si>
  <si>
    <t>1379</t>
  </si>
  <si>
    <t>1381</t>
  </si>
  <si>
    <t>1382</t>
  </si>
  <si>
    <t>11/21/2024</t>
  </si>
  <si>
    <t>1387</t>
  </si>
  <si>
    <t>11/22/2024</t>
  </si>
  <si>
    <t>11/25/2024</t>
  </si>
  <si>
    <t>11/26/2024</t>
  </si>
  <si>
    <t>11/28/2024</t>
  </si>
  <si>
    <t>02/03/2025</t>
  </si>
  <si>
    <t>02/07/2025</t>
  </si>
  <si>
    <t>02/10/2025</t>
  </si>
  <si>
    <t>02/14/2025</t>
  </si>
  <si>
    <t>02/17/2025</t>
  </si>
  <si>
    <t>02/19/2025</t>
  </si>
  <si>
    <t>02/21/2025</t>
  </si>
  <si>
    <t>02/25/2025</t>
  </si>
  <si>
    <t>02/28/2025</t>
  </si>
  <si>
    <t>03/03/2025</t>
  </si>
  <si>
    <t>03/04/2025</t>
  </si>
  <si>
    <t>03/10/2025</t>
  </si>
  <si>
    <t>03/14/2025</t>
  </si>
  <si>
    <t>03/17/2025</t>
  </si>
  <si>
    <t>03/21/2025</t>
  </si>
  <si>
    <t>03/24/2025</t>
  </si>
  <si>
    <t>03/28/2025</t>
  </si>
  <si>
    <t>03/31/2025</t>
  </si>
  <si>
    <t>03/07/2025</t>
  </si>
  <si>
    <t>DR-6027</t>
  </si>
  <si>
    <t>05/28/2025</t>
  </si>
  <si>
    <t>DR-6028</t>
  </si>
  <si>
    <t>04/05/2025</t>
  </si>
  <si>
    <t>DR-6277</t>
  </si>
  <si>
    <t>07/05/2025</t>
  </si>
  <si>
    <t>DR-6278</t>
  </si>
  <si>
    <t>04/12/2025</t>
  </si>
  <si>
    <t>DR-6350</t>
  </si>
  <si>
    <t>07/12/2025</t>
  </si>
  <si>
    <t>DR-6351</t>
  </si>
  <si>
    <t>04/21/2025</t>
  </si>
  <si>
    <t>DR-6405</t>
  </si>
  <si>
    <t>07/21/2025</t>
  </si>
  <si>
    <t>04/02/2025</t>
  </si>
  <si>
    <t>04/07/2025</t>
  </si>
  <si>
    <t>04/11/2025</t>
  </si>
  <si>
    <t>04/14/2025</t>
  </si>
  <si>
    <t>04/15/2025</t>
  </si>
  <si>
    <t>04/16/2025</t>
  </si>
  <si>
    <t>04/25/2025</t>
  </si>
  <si>
    <t>04/28/2025</t>
  </si>
  <si>
    <t>04/30/2025</t>
  </si>
  <si>
    <t>02/29/2024</t>
  </si>
  <si>
    <t>07/26/2024</t>
  </si>
  <si>
    <t>05/20/2025</t>
  </si>
  <si>
    <t>DR-6654</t>
  </si>
  <si>
    <t>08/20/2025</t>
  </si>
  <si>
    <t>OILS &amp; SPAREPRTS</t>
  </si>
  <si>
    <t>05/31/2025</t>
  </si>
  <si>
    <t>DR-6795</t>
  </si>
  <si>
    <t>08/31/2025</t>
  </si>
  <si>
    <t>05/06/2025</t>
  </si>
  <si>
    <t>05/13/2025</t>
  </si>
  <si>
    <t>05/15/2025</t>
  </si>
  <si>
    <t>05/16/2025</t>
  </si>
  <si>
    <t>05/19/2025</t>
  </si>
  <si>
    <t>05/21/2025</t>
  </si>
  <si>
    <t>05/23/2025</t>
  </si>
  <si>
    <t>05/26/2025</t>
  </si>
  <si>
    <t>05/30/2025</t>
  </si>
  <si>
    <t>06/03/2025</t>
  </si>
  <si>
    <t>DR-6810</t>
  </si>
  <si>
    <t>09/03/2025</t>
  </si>
  <si>
    <t>06/13/2025</t>
  </si>
  <si>
    <t>DR-6937</t>
  </si>
  <si>
    <t>09/13/2025</t>
  </si>
  <si>
    <t>DR-6938</t>
  </si>
  <si>
    <t>DR-6939</t>
  </si>
  <si>
    <t>DR-6940</t>
  </si>
  <si>
    <t>DR-6941</t>
  </si>
  <si>
    <t>DR-6944</t>
  </si>
  <si>
    <t>06/02/2025</t>
  </si>
  <si>
    <t>06/09/2025</t>
  </si>
  <si>
    <t>06/18/2025</t>
  </si>
  <si>
    <t>06/16/2025</t>
  </si>
  <si>
    <t>06/23/2025</t>
  </si>
  <si>
    <t>06/30/2025</t>
  </si>
  <si>
    <t>05/09/2025</t>
  </si>
  <si>
    <t>06/9/2025</t>
  </si>
  <si>
    <t>02/1/2024</t>
  </si>
  <si>
    <t>1010</t>
  </si>
  <si>
    <t>04/01/2024</t>
  </si>
  <si>
    <t>DR-3155</t>
  </si>
  <si>
    <t>06/01/2024</t>
  </si>
  <si>
    <t xml:space="preserve">OIL </t>
  </si>
  <si>
    <t>04/02/2024</t>
  </si>
  <si>
    <t>04/22/2024</t>
  </si>
  <si>
    <t>DR-3313</t>
  </si>
  <si>
    <t>06/22/2024</t>
  </si>
  <si>
    <t>DR-3317</t>
  </si>
  <si>
    <t>04/23/2024</t>
  </si>
  <si>
    <t>04/25/2024</t>
  </si>
  <si>
    <t>05/06/2024</t>
  </si>
  <si>
    <t>1119</t>
  </si>
  <si>
    <t>1127</t>
  </si>
  <si>
    <t>1131</t>
  </si>
  <si>
    <t>1136</t>
  </si>
  <si>
    <t>1137</t>
  </si>
  <si>
    <t>DR-3589</t>
  </si>
  <si>
    <t>07/24/2024</t>
  </si>
  <si>
    <t>DR-3591</t>
  </si>
  <si>
    <t>DR-3588</t>
  </si>
  <si>
    <t>DR-3607</t>
  </si>
  <si>
    <t>07/27/2024</t>
  </si>
  <si>
    <t>06/03/2024</t>
  </si>
  <si>
    <t>06/10/2024</t>
  </si>
  <si>
    <t>DR-4647</t>
  </si>
  <si>
    <t>DR-4648</t>
  </si>
  <si>
    <t>12/27/2025</t>
  </si>
  <si>
    <t>DR-4649</t>
  </si>
  <si>
    <t>12/27/2026</t>
  </si>
  <si>
    <t>DR-4650</t>
  </si>
  <si>
    <t>12/27/2027</t>
  </si>
  <si>
    <t>DR-4651</t>
  </si>
  <si>
    <t>12/27/2028</t>
  </si>
  <si>
    <t>DR-4664</t>
  </si>
  <si>
    <t>12/27/2029</t>
  </si>
  <si>
    <t>Prepared By:</t>
  </si>
  <si>
    <t>Checked By:</t>
  </si>
  <si>
    <t>Jaimiker A. Bulado</t>
  </si>
  <si>
    <t>Jordan Maratas</t>
  </si>
  <si>
    <t>Warehouse Supervisor</t>
  </si>
  <si>
    <t>Partsman</t>
  </si>
  <si>
    <t>Received By:</t>
  </si>
  <si>
    <t>Jeshell Mae Canoy</t>
  </si>
  <si>
    <t>Store Manager</t>
  </si>
  <si>
    <t>05/2/2025</t>
  </si>
  <si>
    <t>07/01/2025</t>
  </si>
  <si>
    <t>DR-7103</t>
  </si>
  <si>
    <t>10/01/2025</t>
  </si>
  <si>
    <t>DR-7102</t>
  </si>
  <si>
    <t>07/03/2025</t>
  </si>
  <si>
    <t>1702</t>
  </si>
  <si>
    <t>07/07/2025</t>
  </si>
  <si>
    <t>1707</t>
  </si>
  <si>
    <t>07/11/2025</t>
  </si>
  <si>
    <t>1711</t>
  </si>
  <si>
    <t>07/13/2025</t>
  </si>
  <si>
    <t>1713</t>
  </si>
  <si>
    <t>07/17/2025</t>
  </si>
  <si>
    <t>1718</t>
  </si>
  <si>
    <t>07/18/2025</t>
  </si>
  <si>
    <t>1719</t>
  </si>
  <si>
    <t>07/18/2028</t>
  </si>
  <si>
    <t>0720</t>
  </si>
  <si>
    <t>07/23/2025</t>
  </si>
  <si>
    <t>07/28/2025</t>
  </si>
  <si>
    <t>07/31/2025</t>
  </si>
  <si>
    <t>08/01/2025</t>
  </si>
  <si>
    <t>1744</t>
  </si>
  <si>
    <t>08/04/2025</t>
  </si>
  <si>
    <t>1745</t>
  </si>
  <si>
    <t>08/07/2025</t>
  </si>
  <si>
    <t>1749</t>
  </si>
  <si>
    <t>08/08/2025</t>
  </si>
  <si>
    <t>1752</t>
  </si>
  <si>
    <t>08/11/2025</t>
  </si>
  <si>
    <t>1756</t>
  </si>
  <si>
    <t>08/18/2025</t>
  </si>
  <si>
    <t>1762</t>
  </si>
  <si>
    <t>1763</t>
  </si>
  <si>
    <t>1764</t>
  </si>
  <si>
    <t>08/22/2025</t>
  </si>
  <si>
    <t>1768</t>
  </si>
  <si>
    <t>08/26/2025</t>
  </si>
  <si>
    <t>08/29/2025</t>
  </si>
  <si>
    <t>DR-7375</t>
  </si>
  <si>
    <t>DR-7434</t>
  </si>
  <si>
    <t>08/15/2025</t>
  </si>
  <si>
    <t>DR-7488</t>
  </si>
  <si>
    <t>12/08/2025</t>
  </si>
  <si>
    <t>12/01/2025</t>
  </si>
  <si>
    <t>12/15/2025</t>
  </si>
  <si>
    <t>08/16/2025</t>
  </si>
  <si>
    <t>DR-7498</t>
  </si>
  <si>
    <t>12/16/2025</t>
  </si>
  <si>
    <t>08/29/205</t>
  </si>
  <si>
    <t>DR-7569</t>
  </si>
  <si>
    <t>12/29/2025</t>
  </si>
  <si>
    <t>09/04/2025</t>
  </si>
  <si>
    <t>DR-7609</t>
  </si>
  <si>
    <t>01/04/2026</t>
  </si>
  <si>
    <t>09/11/2025</t>
  </si>
  <si>
    <t>DR-7674</t>
  </si>
  <si>
    <t>09/23/2025</t>
  </si>
  <si>
    <t>DR-7753</t>
  </si>
  <si>
    <t>01/23/2025</t>
  </si>
  <si>
    <t>DR-7755</t>
  </si>
  <si>
    <t>01/223/2025</t>
  </si>
  <si>
    <t>DR-7757</t>
  </si>
  <si>
    <t>DR-7759</t>
  </si>
  <si>
    <t>09/25/2025</t>
  </si>
  <si>
    <t>DR-7791</t>
  </si>
  <si>
    <t>01/25/2025</t>
  </si>
  <si>
    <t>09/27/2025</t>
  </si>
  <si>
    <t>DR-7802</t>
  </si>
  <si>
    <t>01/11/2026</t>
  </si>
  <si>
    <t>1079</t>
  </si>
  <si>
    <t>1108</t>
  </si>
  <si>
    <t>1147</t>
  </si>
  <si>
    <t>1155</t>
  </si>
  <si>
    <t>1166</t>
  </si>
  <si>
    <t>1188</t>
  </si>
  <si>
    <t>1198</t>
  </si>
  <si>
    <t>1199</t>
  </si>
  <si>
    <t>1316</t>
  </si>
  <si>
    <t>1321</t>
  </si>
  <si>
    <t>1328</t>
  </si>
  <si>
    <t>1330</t>
  </si>
  <si>
    <t>1332</t>
  </si>
  <si>
    <t>1333</t>
  </si>
  <si>
    <t>1335</t>
  </si>
  <si>
    <t>1391</t>
  </si>
  <si>
    <t>1404</t>
  </si>
  <si>
    <t>1414</t>
  </si>
  <si>
    <t>1406</t>
  </si>
  <si>
    <t>1410</t>
  </si>
  <si>
    <t>1416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</si>
</sst>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₱&quot;* #,##0.00_-;\-&quot;₱&quot;* #,##0.00_-;_-&quot;₱&quot;* &quot;-&quot;??_-;_-@_-"/>
    <numFmt numFmtId="165" formatCode="_-* #,##0.00_-;\-* #,##0.00_-;_-* &quot;-&quot;??_-;_-@_-"/>
    <numFmt numFmtId="166" formatCode="_-[$₱-3409]* #,##0.00_-;\-[$₱-3409]* #,##0.00_-;_-[$₱-3409]* &quot;-&quot;??_-;_-@_-"/>
    <numFmt numFmtId="167" formatCode="mm/dd/yyyy;@"/>
    <numFmt numFmtId="168" formatCode="_(@"/>
    <numFmt numFmtId="169" formatCode="[$-409]mmmm\ d\,\ yy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Tahoma"/>
      <family val="2"/>
    </font>
    <font>
      <sz val="1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b/>
      <i/>
      <sz val="14"/>
      <color theme="4"/>
      <name val="3ds"/>
      <family val="3"/>
    </font>
    <font>
      <b/>
      <sz val="10"/>
      <color indexed="55"/>
      <name val="Tahoma"/>
      <family val="2"/>
    </font>
    <font>
      <sz val="9"/>
      <name val="Tahoma"/>
      <family val="2"/>
    </font>
    <font>
      <b/>
      <sz val="10"/>
      <color rgb="FFFF0000"/>
      <name val="Tahoma"/>
      <family val="2"/>
    </font>
    <font>
      <b/>
      <sz val="10"/>
      <color theme="0"/>
      <name val="Tahoma"/>
      <family val="2"/>
    </font>
    <font>
      <sz val="10"/>
      <color theme="1"/>
      <name val="Tahoma"/>
      <family val="2"/>
    </font>
    <font>
      <sz val="10"/>
      <color indexed="55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color theme="4"/>
      <name val="3ds"/>
      <family val="3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/>
    </xf>
    <xf numFmtId="49" fontId="5" fillId="0" borderId="0" xfId="0" applyNumberFormat="1" applyFont="1"/>
    <xf numFmtId="0" fontId="2" fillId="0" borderId="0" xfId="3" applyFill="1" applyAlignment="1" applyProtection="1"/>
    <xf numFmtId="0" fontId="7" fillId="0" borderId="0" xfId="0" applyFont="1"/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/>
    </xf>
    <xf numFmtId="49" fontId="10" fillId="5" borderId="5" xfId="0" applyNumberFormat="1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left" vertical="center" wrapText="1" indent="1"/>
    </xf>
    <xf numFmtId="166" fontId="5" fillId="5" borderId="5" xfId="1" applyNumberFormat="1" applyFont="1" applyFill="1" applyBorder="1" applyAlignment="1">
      <alignment vertical="center"/>
    </xf>
    <xf numFmtId="166" fontId="5" fillId="4" borderId="5" xfId="1" applyNumberFormat="1" applyFont="1" applyFill="1" applyBorder="1" applyAlignment="1">
      <alignment vertical="center"/>
    </xf>
    <xf numFmtId="49" fontId="10" fillId="5" borderId="6" xfId="0" applyNumberFormat="1" applyFont="1" applyFill="1" applyBorder="1" applyAlignment="1">
      <alignment horizontal="center" vertical="center"/>
    </xf>
    <xf numFmtId="49" fontId="5" fillId="5" borderId="6" xfId="0" applyNumberFormat="1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left" vertical="center" wrapText="1" indent="1"/>
    </xf>
    <xf numFmtId="166" fontId="5" fillId="5" borderId="6" xfId="1" applyNumberFormat="1" applyFont="1" applyFill="1" applyBorder="1" applyAlignment="1">
      <alignment vertical="center"/>
    </xf>
    <xf numFmtId="49" fontId="5" fillId="4" borderId="7" xfId="0" applyNumberFormat="1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/>
    </xf>
    <xf numFmtId="49" fontId="5" fillId="5" borderId="8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indent="1"/>
    </xf>
    <xf numFmtId="166" fontId="12" fillId="5" borderId="8" xfId="1" applyNumberFormat="1" applyFont="1" applyFill="1" applyBorder="1" applyAlignment="1"/>
    <xf numFmtId="166" fontId="5" fillId="4" borderId="9" xfId="1" applyNumberFormat="1" applyFont="1" applyFill="1" applyBorder="1" applyAlignment="1">
      <alignment vertical="center"/>
    </xf>
    <xf numFmtId="14" fontId="5" fillId="4" borderId="7" xfId="0" applyNumberFormat="1" applyFont="1" applyFill="1" applyBorder="1" applyAlignment="1">
      <alignment horizontal="center"/>
    </xf>
    <xf numFmtId="49" fontId="5" fillId="5" borderId="0" xfId="0" applyNumberFormat="1" applyFont="1" applyFill="1" applyAlignment="1">
      <alignment horizontal="center" vertical="center"/>
    </xf>
    <xf numFmtId="167" fontId="5" fillId="4" borderId="7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13" fillId="4" borderId="0" xfId="0" applyFont="1" applyFill="1"/>
    <xf numFmtId="166" fontId="5" fillId="4" borderId="0" xfId="0" applyNumberFormat="1" applyFont="1" applyFill="1"/>
    <xf numFmtId="0" fontId="8" fillId="0" borderId="0" xfId="0" applyFont="1" applyAlignment="1">
      <alignment horizontal="left" vertical="center"/>
    </xf>
    <xf numFmtId="168" fontId="11" fillId="0" borderId="0" xfId="0" applyNumberFormat="1" applyFont="1" applyAlignment="1">
      <alignment horizontal="right" vertical="center" indent="1"/>
    </xf>
    <xf numFmtId="166" fontId="11" fillId="3" borderId="0" xfId="2" applyNumberFormat="1" applyFont="1" applyFill="1" applyBorder="1" applyAlignment="1">
      <alignment vertical="center"/>
    </xf>
    <xf numFmtId="0" fontId="6" fillId="4" borderId="0" xfId="0" applyFont="1" applyFill="1" applyAlignment="1">
      <alignment horizontal="left" vertical="center"/>
    </xf>
    <xf numFmtId="166" fontId="6" fillId="0" borderId="0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169" fontId="5" fillId="0" borderId="0" xfId="0" applyNumberFormat="1" applyFont="1" applyAlignment="1">
      <alignment horizontal="left"/>
    </xf>
    <xf numFmtId="0" fontId="8" fillId="0" borderId="0" xfId="0" applyFont="1" applyAlignment="1">
      <alignment horizontal="left" indent="1"/>
    </xf>
    <xf numFmtId="49" fontId="10" fillId="5" borderId="0" xfId="0" applyNumberFormat="1" applyFont="1" applyFill="1" applyAlignment="1">
      <alignment horizontal="center" vertical="center"/>
    </xf>
    <xf numFmtId="166" fontId="5" fillId="5" borderId="0" xfId="1" applyNumberFormat="1" applyFont="1" applyFill="1" applyBorder="1" applyAlignment="1">
      <alignment vertical="center"/>
    </xf>
    <xf numFmtId="49" fontId="5" fillId="4" borderId="0" xfId="0" applyNumberFormat="1" applyFont="1" applyFill="1" applyAlignment="1">
      <alignment horizontal="left" vertical="center" wrapText="1" indent="1"/>
    </xf>
    <xf numFmtId="0" fontId="16" fillId="0" borderId="0" xfId="0" applyFont="1"/>
    <xf numFmtId="0" fontId="0" fillId="0" borderId="12" xfId="0" applyBorder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3" applyFont="1" applyFill="1" applyAlignment="1" applyProtection="1"/>
    <xf numFmtId="0" fontId="20" fillId="0" borderId="0" xfId="0" applyFont="1"/>
    <xf numFmtId="0" fontId="16" fillId="0" borderId="13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shrinkToFit="1"/>
    </xf>
    <xf numFmtId="0" fontId="9" fillId="0" borderId="0" xfId="0" applyFont="1" applyAlignment="1">
      <alignment horizontal="left" shrinkToFit="1"/>
    </xf>
    <xf numFmtId="0" fontId="0" fillId="0" borderId="12" xfId="0" applyBorder="1" applyAlignment="1">
      <alignment horizontal="center"/>
    </xf>
    <xf numFmtId="0" fontId="6" fillId="0" borderId="0" xfId="0" applyFont="1" applyAlignment="1">
      <alignment vertical="center"/>
    </xf>
    <xf numFmtId="0" fontId="17" fillId="0" borderId="0" xfId="0" applyFont="1"/>
    <xf numFmtId="0" fontId="5" fillId="0" borderId="0" xfId="0" applyFont="1" applyAlignment="1">
      <alignment horizontal="left" shrinkToFit="1"/>
    </xf>
    <xf numFmtId="0" fontId="18" fillId="0" borderId="0" xfId="0" applyFont="1" applyAlignment="1">
      <alignment horizontal="center" vertical="center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85725</xdr:rowOff>
    </xdr:from>
    <xdr:to>
      <xdr:col>1</xdr:col>
      <xdr:colOff>1219200</xdr:colOff>
      <xdr:row>1</xdr:row>
      <xdr:rowOff>533400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963A91-94D4-48CB-A207-C20CE05BF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85725"/>
          <a:ext cx="2305050" cy="695325"/>
        </a:xfrm>
        <a:prstGeom prst="rect">
          <a:avLst/>
        </a:prstGeom>
      </xdr:spPr>
    </xdr:pic>
    <xdr:clientData/>
  </xdr:twoCellAnchor>
  <xdr:twoCellAnchor>
    <xdr:from>
      <xdr:col>4</xdr:col>
      <xdr:colOff>3400</xdr:colOff>
      <xdr:row>7</xdr:row>
      <xdr:rowOff>0</xdr:rowOff>
    </xdr:from>
    <xdr:to>
      <xdr:col>4</xdr:col>
      <xdr:colOff>116339</xdr:colOff>
      <xdr:row>7</xdr:row>
      <xdr:rowOff>446374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FBF5D814-BC6E-4E7F-863A-99743E74BDA5}"/>
            </a:ext>
          </a:extLst>
        </xdr:cNvPr>
        <xdr:cNvSpPr/>
      </xdr:nvSpPr>
      <xdr:spPr>
        <a:xfrm>
          <a:off x="4737325" y="1838325"/>
          <a:ext cx="112939" cy="189199"/>
        </a:xfrm>
        <a:prstGeom prst="rt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2199</xdr:colOff>
      <xdr:row>159</xdr:row>
      <xdr:rowOff>0</xdr:rowOff>
    </xdr:from>
    <xdr:to>
      <xdr:col>4</xdr:col>
      <xdr:colOff>126024</xdr:colOff>
      <xdr:row>160</xdr:row>
      <xdr:rowOff>0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605E751F-3234-47EF-ADF4-43066E594132}"/>
            </a:ext>
          </a:extLst>
        </xdr:cNvPr>
        <xdr:cNvSpPr/>
      </xdr:nvSpPr>
      <xdr:spPr>
        <a:xfrm>
          <a:off x="4736124" y="31013400"/>
          <a:ext cx="123825" cy="200025"/>
        </a:xfrm>
        <a:prstGeom prst="rt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2199</xdr:colOff>
      <xdr:row>159</xdr:row>
      <xdr:rowOff>0</xdr:rowOff>
    </xdr:from>
    <xdr:to>
      <xdr:col>4</xdr:col>
      <xdr:colOff>126024</xdr:colOff>
      <xdr:row>160</xdr:row>
      <xdr:rowOff>0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D4FE8D55-D2A8-4CF5-8C3A-BEAECF9A053A}"/>
            </a:ext>
          </a:extLst>
        </xdr:cNvPr>
        <xdr:cNvSpPr/>
      </xdr:nvSpPr>
      <xdr:spPr>
        <a:xfrm>
          <a:off x="4736124" y="31013400"/>
          <a:ext cx="123825" cy="200025"/>
        </a:xfrm>
        <a:prstGeom prst="rt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0</xdr:col>
      <xdr:colOff>1504308</xdr:colOff>
      <xdr:row>0</xdr:row>
      <xdr:rowOff>666750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801CC-8415-4EE7-AB12-77CAC421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1380483" cy="666750"/>
        </a:xfrm>
        <a:prstGeom prst="rect">
          <a:avLst/>
        </a:prstGeom>
      </xdr:spPr>
    </xdr:pic>
    <xdr:clientData/>
  </xdr:twoCellAnchor>
  <xdr:twoCellAnchor>
    <xdr:from>
      <xdr:col>4</xdr:col>
      <xdr:colOff>3400</xdr:colOff>
      <xdr:row>9</xdr:row>
      <xdr:rowOff>0</xdr:rowOff>
    </xdr:from>
    <xdr:to>
      <xdr:col>4</xdr:col>
      <xdr:colOff>116339</xdr:colOff>
      <xdr:row>9</xdr:row>
      <xdr:rowOff>446374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FA16D824-7F13-4E47-BC87-0941AD4541B0}"/>
            </a:ext>
          </a:extLst>
        </xdr:cNvPr>
        <xdr:cNvSpPr/>
      </xdr:nvSpPr>
      <xdr:spPr>
        <a:xfrm>
          <a:off x="7404325" y="2619375"/>
          <a:ext cx="112939" cy="189199"/>
        </a:xfrm>
        <a:prstGeom prst="rt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2199</xdr:colOff>
      <xdr:row>143</xdr:row>
      <xdr:rowOff>156309</xdr:rowOff>
    </xdr:from>
    <xdr:to>
      <xdr:col>4</xdr:col>
      <xdr:colOff>126024</xdr:colOff>
      <xdr:row>145</xdr:row>
      <xdr:rowOff>0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F55B2BC3-2EB7-436A-A9E5-47453F86FCEE}"/>
            </a:ext>
          </a:extLst>
        </xdr:cNvPr>
        <xdr:cNvSpPr/>
      </xdr:nvSpPr>
      <xdr:spPr>
        <a:xfrm>
          <a:off x="7403124" y="10395684"/>
          <a:ext cx="123825" cy="234216"/>
        </a:xfrm>
        <a:prstGeom prst="rt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2199</xdr:colOff>
      <xdr:row>143</xdr:row>
      <xdr:rowOff>156309</xdr:rowOff>
    </xdr:from>
    <xdr:to>
      <xdr:col>4</xdr:col>
      <xdr:colOff>126024</xdr:colOff>
      <xdr:row>145</xdr:row>
      <xdr:rowOff>0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27515B48-2F6D-4AE8-9CBF-85D79B0F1501}"/>
            </a:ext>
          </a:extLst>
        </xdr:cNvPr>
        <xdr:cNvSpPr/>
      </xdr:nvSpPr>
      <xdr:spPr>
        <a:xfrm>
          <a:off x="7403124" y="10395684"/>
          <a:ext cx="123825" cy="234216"/>
        </a:xfrm>
        <a:prstGeom prst="rt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NEW%20SOA%202024\GACC%20-%20BUKIDNON%202024%20(2).xlsx" TargetMode="External"/><Relationship Id="rId1" Type="http://schemas.openxmlformats.org/officeDocument/2006/relationships/externalLinkPath" Target="file:///C:\Users\User\Desktop\NEW%20SOA%202024\GACC%20-%20BUKIDNON%202024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OLD ACCOUNT"/>
      <sheetName val="NEW ACCOUNT"/>
      <sheetName val="YEAR 2023"/>
      <sheetName val="YEAR 2024"/>
      <sheetName val="JANUARY 2024"/>
      <sheetName val="FEBRUARY 2024"/>
      <sheetName val="MARCH 2024"/>
      <sheetName val="APRIL 2024"/>
      <sheetName val="MAY 2024"/>
      <sheetName val="JUNE 2024"/>
      <sheetName val="JULY 2024"/>
      <sheetName val="AUGUST 2024"/>
      <sheetName val="SEPTEMBER 2024"/>
      <sheetName val="OCTOBER 2024"/>
      <sheetName val="NOVEMBER 2024"/>
      <sheetName val="DECEMBER 2024"/>
    </sheetNames>
    <sheetDataSet>
      <sheetData sheetId="0"/>
      <sheetData sheetId="1"/>
      <sheetData sheetId="2">
        <row r="123">
          <cell r="G123">
            <v>4808295.939999992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dyccarparts1064@gmail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yccarparts106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EDC5-4F32-4F4E-AF84-9641820A7A52}">
  <dimension ref="A1:G171"/>
  <sheetViews>
    <sheetView topLeftCell="A143" workbookViewId="0">
      <selection activeCell="G158" sqref="G158"/>
    </sheetView>
  </sheetViews>
  <sheetFormatPr defaultRowHeight="15"/>
  <cols>
    <col min="1" max="1" width="18" customWidth="1"/>
    <col min="2" max="2" width="18.7109375" customWidth="1"/>
    <col min="3" max="3" width="11.7109375" bestFit="1" customWidth="1"/>
    <col min="4" max="4" width="22.5703125" customWidth="1"/>
    <col min="5" max="5" width="17.140625" customWidth="1"/>
    <col min="6" max="6" width="17.5703125" customWidth="1"/>
    <col min="7" max="7" width="20.28515625" customWidth="1"/>
  </cols>
  <sheetData>
    <row r="1" spans="1:7" ht="19.5">
      <c r="A1" s="64"/>
      <c r="B1" s="65"/>
      <c r="C1" s="2"/>
      <c r="D1" s="3"/>
      <c r="E1" s="3"/>
      <c r="F1" s="3"/>
      <c r="G1" s="3"/>
    </row>
    <row r="2" spans="1:7" ht="45.75" customHeight="1">
      <c r="A2" s="1"/>
      <c r="B2" s="2"/>
      <c r="C2" s="2"/>
      <c r="D2" s="3"/>
      <c r="E2" s="3"/>
      <c r="F2" s="3"/>
      <c r="G2" s="3"/>
    </row>
    <row r="3" spans="1:7">
      <c r="A3" s="4" t="s">
        <v>0</v>
      </c>
      <c r="B3" s="3" t="s">
        <v>1</v>
      </c>
      <c r="C3" s="3"/>
      <c r="D3" s="3"/>
      <c r="E3" s="5" t="s">
        <v>2</v>
      </c>
      <c r="F3" s="6" t="s">
        <v>3</v>
      </c>
      <c r="G3" s="3"/>
    </row>
    <row r="4" spans="1:7">
      <c r="A4" s="4" t="s">
        <v>4</v>
      </c>
      <c r="B4" s="3"/>
      <c r="C4" s="3"/>
      <c r="D4" s="3"/>
      <c r="E4" s="5" t="s">
        <v>5</v>
      </c>
      <c r="F4" s="7" t="s">
        <v>6</v>
      </c>
      <c r="G4" s="3"/>
    </row>
    <row r="5" spans="1:7" ht="19.5">
      <c r="A5" s="8" t="s">
        <v>7</v>
      </c>
      <c r="B5" s="3"/>
      <c r="C5" s="3"/>
      <c r="D5" s="3"/>
      <c r="E5" s="9"/>
      <c r="F5" s="3"/>
      <c r="G5" s="3"/>
    </row>
    <row r="6" spans="1:7">
      <c r="A6" s="3"/>
      <c r="B6" s="3"/>
      <c r="C6" s="3"/>
      <c r="D6" s="3"/>
      <c r="E6" s="10" t="s">
        <v>8</v>
      </c>
      <c r="F6" s="66" t="s">
        <v>9</v>
      </c>
      <c r="G6" s="66"/>
    </row>
    <row r="7" spans="1:7">
      <c r="A7" s="10" t="s">
        <v>8</v>
      </c>
      <c r="B7" s="67"/>
      <c r="C7" s="67"/>
      <c r="D7" s="11"/>
      <c r="E7" s="3"/>
      <c r="F7" s="66" t="s">
        <v>10</v>
      </c>
      <c r="G7" s="66"/>
    </row>
    <row r="8" spans="1:7">
      <c r="A8" s="12" t="s">
        <v>11</v>
      </c>
      <c r="B8" s="13" t="s">
        <v>12</v>
      </c>
      <c r="C8" s="13" t="s">
        <v>13</v>
      </c>
      <c r="D8" s="14" t="s">
        <v>14</v>
      </c>
      <c r="E8" s="15" t="s">
        <v>15</v>
      </c>
      <c r="F8" s="16" t="s">
        <v>16</v>
      </c>
      <c r="G8" s="16" t="s">
        <v>17</v>
      </c>
    </row>
    <row r="9" spans="1:7">
      <c r="A9" s="17" t="s">
        <v>18</v>
      </c>
      <c r="B9" s="18"/>
      <c r="C9" s="19"/>
      <c r="D9" s="20" t="s">
        <v>19</v>
      </c>
      <c r="E9" s="21">
        <f>'[1]YEAR 2023'!G123</f>
        <v>4808295.939999992</v>
      </c>
      <c r="F9" s="22"/>
      <c r="G9" s="21">
        <f>E9</f>
        <v>4808295.939999992</v>
      </c>
    </row>
    <row r="10" spans="1:7">
      <c r="A10" s="17" t="s">
        <v>20</v>
      </c>
      <c r="B10" s="23" t="s">
        <v>21</v>
      </c>
      <c r="C10" s="24"/>
      <c r="D10" s="25" t="s">
        <v>22</v>
      </c>
      <c r="E10" s="26"/>
      <c r="F10" s="22">
        <v>73803.740000000005</v>
      </c>
      <c r="G10" s="21">
        <f>G9+E10-F10</f>
        <v>4734492.1999999918</v>
      </c>
    </row>
    <row r="11" spans="1:7">
      <c r="A11" s="17" t="s">
        <v>23</v>
      </c>
      <c r="B11" s="23" t="s">
        <v>24</v>
      </c>
      <c r="C11" s="24"/>
      <c r="D11" s="25" t="s">
        <v>22</v>
      </c>
      <c r="E11" s="26"/>
      <c r="F11" s="22">
        <v>23000</v>
      </c>
      <c r="G11" s="21">
        <f t="shared" ref="G11:G74" si="0">G10+E11-F11</f>
        <v>4711492.1999999918</v>
      </c>
    </row>
    <row r="12" spans="1:7">
      <c r="A12" s="17" t="s">
        <v>25</v>
      </c>
      <c r="B12" s="23" t="s">
        <v>26</v>
      </c>
      <c r="C12" s="24"/>
      <c r="D12" s="25" t="s">
        <v>22</v>
      </c>
      <c r="E12" s="26"/>
      <c r="F12" s="22">
        <v>38000</v>
      </c>
      <c r="G12" s="21">
        <f t="shared" si="0"/>
        <v>4673492.1999999918</v>
      </c>
    </row>
    <row r="13" spans="1:7">
      <c r="A13" s="17" t="s">
        <v>27</v>
      </c>
      <c r="B13" s="23" t="s">
        <v>28</v>
      </c>
      <c r="C13" s="24"/>
      <c r="D13" s="25" t="s">
        <v>22</v>
      </c>
      <c r="E13" s="26"/>
      <c r="F13" s="22">
        <v>73803.740000000005</v>
      </c>
      <c r="G13" s="21">
        <f t="shared" si="0"/>
        <v>4599688.4599999916</v>
      </c>
    </row>
    <row r="14" spans="1:7">
      <c r="A14" s="17" t="s">
        <v>29</v>
      </c>
      <c r="B14" s="23" t="s">
        <v>30</v>
      </c>
      <c r="C14" s="24"/>
      <c r="D14" s="25" t="s">
        <v>22</v>
      </c>
      <c r="E14" s="26"/>
      <c r="F14" s="22">
        <v>39000</v>
      </c>
      <c r="G14" s="21">
        <f t="shared" si="0"/>
        <v>4560688.4599999916</v>
      </c>
    </row>
    <row r="15" spans="1:7">
      <c r="A15" s="17" t="s">
        <v>31</v>
      </c>
      <c r="B15" s="23" t="s">
        <v>32</v>
      </c>
      <c r="C15" s="24"/>
      <c r="D15" s="25" t="s">
        <v>22</v>
      </c>
      <c r="E15" s="26"/>
      <c r="F15" s="22">
        <v>100000</v>
      </c>
      <c r="G15" s="21">
        <f t="shared" si="0"/>
        <v>4460688.4599999916</v>
      </c>
    </row>
    <row r="16" spans="1:7">
      <c r="A16" s="17" t="s">
        <v>33</v>
      </c>
      <c r="B16" s="23" t="s">
        <v>34</v>
      </c>
      <c r="C16" s="24"/>
      <c r="D16" s="25" t="s">
        <v>22</v>
      </c>
      <c r="E16" s="26"/>
      <c r="F16" s="22">
        <v>50000</v>
      </c>
      <c r="G16" s="21">
        <f t="shared" si="0"/>
        <v>4410688.4599999916</v>
      </c>
    </row>
    <row r="17" spans="1:7">
      <c r="A17" s="17" t="s">
        <v>35</v>
      </c>
      <c r="B17" s="23" t="s">
        <v>36</v>
      </c>
      <c r="C17" s="24" t="s">
        <v>37</v>
      </c>
      <c r="D17" s="25" t="s">
        <v>38</v>
      </c>
      <c r="E17" s="26">
        <v>19951.2</v>
      </c>
      <c r="F17" s="22"/>
      <c r="G17" s="21">
        <f t="shared" si="0"/>
        <v>4430639.6599999918</v>
      </c>
    </row>
    <row r="18" spans="1:7">
      <c r="A18" s="17" t="s">
        <v>39</v>
      </c>
      <c r="B18" s="23" t="s">
        <v>40</v>
      </c>
      <c r="C18" s="24" t="s">
        <v>41</v>
      </c>
      <c r="D18" s="25" t="s">
        <v>42</v>
      </c>
      <c r="E18" s="26">
        <v>102651.75</v>
      </c>
      <c r="F18" s="22"/>
      <c r="G18" s="21">
        <f t="shared" si="0"/>
        <v>4533291.4099999918</v>
      </c>
    </row>
    <row r="19" spans="1:7">
      <c r="A19" s="27" t="s">
        <v>39</v>
      </c>
      <c r="B19" s="28" t="s">
        <v>43</v>
      </c>
      <c r="C19" s="29" t="s">
        <v>41</v>
      </c>
      <c r="D19" s="30" t="s">
        <v>42</v>
      </c>
      <c r="E19" s="31">
        <v>28042.2</v>
      </c>
      <c r="F19" s="32"/>
      <c r="G19" s="21">
        <f t="shared" si="0"/>
        <v>4561333.609999992</v>
      </c>
    </row>
    <row r="20" spans="1:7">
      <c r="A20" s="27" t="s">
        <v>44</v>
      </c>
      <c r="B20" s="28" t="s">
        <v>45</v>
      </c>
      <c r="C20" s="29" t="s">
        <v>46</v>
      </c>
      <c r="D20" s="30" t="s">
        <v>42</v>
      </c>
      <c r="E20" s="31">
        <v>20563.2</v>
      </c>
      <c r="F20" s="32"/>
      <c r="G20" s="21">
        <f t="shared" si="0"/>
        <v>4581896.8099999921</v>
      </c>
    </row>
    <row r="21" spans="1:7">
      <c r="A21" s="27" t="s">
        <v>44</v>
      </c>
      <c r="B21" s="28">
        <v>1007</v>
      </c>
      <c r="C21" s="29"/>
      <c r="D21" s="30" t="s">
        <v>22</v>
      </c>
      <c r="E21" s="31"/>
      <c r="F21" s="32">
        <v>50000</v>
      </c>
      <c r="G21" s="21">
        <f t="shared" si="0"/>
        <v>4531896.8099999921</v>
      </c>
    </row>
    <row r="22" spans="1:7">
      <c r="A22" s="27" t="s">
        <v>304</v>
      </c>
      <c r="B22" s="55" t="s">
        <v>305</v>
      </c>
      <c r="C22" s="34"/>
      <c r="D22" s="57" t="s">
        <v>22</v>
      </c>
      <c r="E22" s="56"/>
      <c r="F22" s="22">
        <v>50000</v>
      </c>
      <c r="G22" s="21">
        <f t="shared" si="0"/>
        <v>4481896.8099999921</v>
      </c>
    </row>
    <row r="23" spans="1:7">
      <c r="A23" s="27" t="s">
        <v>47</v>
      </c>
      <c r="B23" s="28" t="s">
        <v>48</v>
      </c>
      <c r="C23" s="29" t="s">
        <v>49</v>
      </c>
      <c r="D23" s="30" t="s">
        <v>42</v>
      </c>
      <c r="E23" s="31">
        <v>40239.08</v>
      </c>
      <c r="F23" s="22"/>
      <c r="G23" s="21">
        <f t="shared" si="0"/>
        <v>4522135.8899999922</v>
      </c>
    </row>
    <row r="24" spans="1:7">
      <c r="A24" s="33">
        <v>45445</v>
      </c>
      <c r="B24" s="28" t="s">
        <v>50</v>
      </c>
      <c r="C24" s="29" t="s">
        <v>49</v>
      </c>
      <c r="D24" s="30" t="s">
        <v>42</v>
      </c>
      <c r="E24" s="31">
        <v>148896</v>
      </c>
      <c r="F24" s="22"/>
      <c r="G24" s="21">
        <f t="shared" si="0"/>
        <v>4671031.8899999922</v>
      </c>
    </row>
    <row r="25" spans="1:7">
      <c r="A25" s="27" t="s">
        <v>51</v>
      </c>
      <c r="B25" s="28">
        <v>1031</v>
      </c>
      <c r="C25" s="29"/>
      <c r="D25" s="30" t="s">
        <v>22</v>
      </c>
      <c r="E25" s="31"/>
      <c r="F25" s="32">
        <v>30000</v>
      </c>
      <c r="G25" s="21">
        <f t="shared" si="0"/>
        <v>4641031.8899999922</v>
      </c>
    </row>
    <row r="26" spans="1:7">
      <c r="A26" s="27" t="s">
        <v>52</v>
      </c>
      <c r="B26" s="28">
        <v>1035</v>
      </c>
      <c r="C26" s="29"/>
      <c r="D26" s="30" t="s">
        <v>22</v>
      </c>
      <c r="E26" s="31"/>
      <c r="F26" s="32">
        <v>30000</v>
      </c>
      <c r="G26" s="21">
        <f t="shared" si="0"/>
        <v>4611031.8899999922</v>
      </c>
    </row>
    <row r="27" spans="1:7">
      <c r="A27" s="27" t="s">
        <v>53</v>
      </c>
      <c r="B27" s="28">
        <v>1038</v>
      </c>
      <c r="C27" s="29"/>
      <c r="D27" s="30" t="s">
        <v>22</v>
      </c>
      <c r="E27" s="31"/>
      <c r="F27" s="32">
        <v>35000</v>
      </c>
      <c r="G27" s="21">
        <f t="shared" si="0"/>
        <v>4576031.8899999922</v>
      </c>
    </row>
    <row r="28" spans="1:7">
      <c r="A28" s="33" t="s">
        <v>54</v>
      </c>
      <c r="B28" s="28">
        <v>1048</v>
      </c>
      <c r="C28" s="29"/>
      <c r="D28" s="30" t="s">
        <v>22</v>
      </c>
      <c r="E28" s="31"/>
      <c r="F28" s="32">
        <v>50000</v>
      </c>
      <c r="G28" s="21">
        <f t="shared" si="0"/>
        <v>4526031.8899999922</v>
      </c>
    </row>
    <row r="29" spans="1:7">
      <c r="A29" s="27" t="s">
        <v>267</v>
      </c>
      <c r="B29" s="28">
        <v>1049</v>
      </c>
      <c r="C29" s="29"/>
      <c r="D29" s="30" t="s">
        <v>22</v>
      </c>
      <c r="E29" s="31"/>
      <c r="F29" s="32">
        <v>50000</v>
      </c>
      <c r="G29" s="21">
        <f t="shared" si="0"/>
        <v>4476031.8899999922</v>
      </c>
    </row>
    <row r="30" spans="1:7">
      <c r="A30" s="27" t="s">
        <v>55</v>
      </c>
      <c r="B30" s="28" t="s">
        <v>56</v>
      </c>
      <c r="C30" s="29" t="s">
        <v>57</v>
      </c>
      <c r="D30" s="30" t="s">
        <v>42</v>
      </c>
      <c r="E30" s="31">
        <f>516025.8-28584-29116.8-27410.4</f>
        <v>430914.6</v>
      </c>
      <c r="F30" s="22"/>
      <c r="G30" s="21">
        <f t="shared" si="0"/>
        <v>4906946.4899999918</v>
      </c>
    </row>
    <row r="31" spans="1:7">
      <c r="A31" s="17" t="s">
        <v>55</v>
      </c>
      <c r="B31" s="23" t="s">
        <v>58</v>
      </c>
      <c r="C31" s="24" t="s">
        <v>57</v>
      </c>
      <c r="D31" s="25" t="s">
        <v>38</v>
      </c>
      <c r="E31" s="26">
        <v>59040</v>
      </c>
      <c r="F31" s="22"/>
      <c r="G31" s="21">
        <f t="shared" si="0"/>
        <v>4965986.4899999918</v>
      </c>
    </row>
    <row r="32" spans="1:7">
      <c r="A32" s="27" t="s">
        <v>55</v>
      </c>
      <c r="B32" s="28" t="s">
        <v>59</v>
      </c>
      <c r="C32" s="29" t="s">
        <v>57</v>
      </c>
      <c r="D32" s="30" t="s">
        <v>38</v>
      </c>
      <c r="E32" s="31">
        <v>31680</v>
      </c>
      <c r="F32" s="32"/>
      <c r="G32" s="21">
        <f t="shared" si="0"/>
        <v>4997666.4899999918</v>
      </c>
    </row>
    <row r="33" spans="1:7">
      <c r="A33" s="27" t="s">
        <v>60</v>
      </c>
      <c r="B33" s="28" t="s">
        <v>61</v>
      </c>
      <c r="C33" s="29" t="s">
        <v>62</v>
      </c>
      <c r="D33" s="30" t="s">
        <v>38</v>
      </c>
      <c r="E33" s="31">
        <v>82656</v>
      </c>
      <c r="F33" s="32"/>
      <c r="G33" s="21">
        <f t="shared" si="0"/>
        <v>5080322.4899999918</v>
      </c>
    </row>
    <row r="34" spans="1:7">
      <c r="A34" s="27" t="s">
        <v>63</v>
      </c>
      <c r="B34" s="28">
        <v>1058</v>
      </c>
      <c r="C34" s="29"/>
      <c r="D34" s="30" t="s">
        <v>22</v>
      </c>
      <c r="E34" s="31"/>
      <c r="F34" s="32">
        <v>50000</v>
      </c>
      <c r="G34" s="21">
        <f t="shared" si="0"/>
        <v>5030322.4899999918</v>
      </c>
    </row>
    <row r="35" spans="1:7">
      <c r="A35" s="27" t="s">
        <v>64</v>
      </c>
      <c r="B35" s="28" t="s">
        <v>65</v>
      </c>
      <c r="C35" s="29" t="s">
        <v>66</v>
      </c>
      <c r="D35" s="30" t="s">
        <v>42</v>
      </c>
      <c r="E35" s="31">
        <v>62000</v>
      </c>
      <c r="F35" s="32"/>
      <c r="G35" s="21">
        <f t="shared" si="0"/>
        <v>5092322.4899999918</v>
      </c>
    </row>
    <row r="36" spans="1:7">
      <c r="A36" s="27" t="s">
        <v>67</v>
      </c>
      <c r="B36" s="28">
        <v>1062</v>
      </c>
      <c r="C36" s="29"/>
      <c r="D36" s="30" t="s">
        <v>22</v>
      </c>
      <c r="E36" s="31"/>
      <c r="F36" s="32">
        <v>45000</v>
      </c>
      <c r="G36" s="21">
        <f t="shared" si="0"/>
        <v>5047322.4899999918</v>
      </c>
    </row>
    <row r="37" spans="1:7">
      <c r="A37" s="33" t="s">
        <v>68</v>
      </c>
      <c r="B37" s="28" t="s">
        <v>69</v>
      </c>
      <c r="C37" s="29" t="s">
        <v>70</v>
      </c>
      <c r="D37" s="30" t="s">
        <v>38</v>
      </c>
      <c r="E37" s="31">
        <v>91468.800000000003</v>
      </c>
      <c r="F37" s="32"/>
      <c r="G37" s="21">
        <f t="shared" si="0"/>
        <v>5138791.2899999917</v>
      </c>
    </row>
    <row r="38" spans="1:7">
      <c r="A38" s="27" t="s">
        <v>71</v>
      </c>
      <c r="B38" s="28">
        <v>1069</v>
      </c>
      <c r="C38" s="29"/>
      <c r="D38" s="30" t="s">
        <v>22</v>
      </c>
      <c r="E38" s="31"/>
      <c r="F38" s="32">
        <v>30000</v>
      </c>
      <c r="G38" s="21">
        <f t="shared" si="0"/>
        <v>5108791.2899999917</v>
      </c>
    </row>
    <row r="39" spans="1:7">
      <c r="A39" s="27" t="s">
        <v>72</v>
      </c>
      <c r="B39" s="28">
        <v>1073</v>
      </c>
      <c r="C39" s="29"/>
      <c r="D39" s="30" t="s">
        <v>22</v>
      </c>
      <c r="E39" s="31"/>
      <c r="F39" s="32">
        <v>50000</v>
      </c>
      <c r="G39" s="21">
        <f t="shared" si="0"/>
        <v>5058791.2899999917</v>
      </c>
    </row>
    <row r="40" spans="1:7">
      <c r="A40" s="17" t="s">
        <v>306</v>
      </c>
      <c r="B40" s="23" t="s">
        <v>307</v>
      </c>
      <c r="C40" s="24" t="s">
        <v>308</v>
      </c>
      <c r="D40" s="25" t="s">
        <v>309</v>
      </c>
      <c r="E40" s="26">
        <f>228535.2-28584-29116.8-27410.4</f>
        <v>143424.00000000003</v>
      </c>
      <c r="F40" s="22"/>
      <c r="G40" s="21">
        <f t="shared" si="0"/>
        <v>5202215.2899999917</v>
      </c>
    </row>
    <row r="41" spans="1:7">
      <c r="A41" s="27" t="s">
        <v>310</v>
      </c>
      <c r="B41" s="55" t="s">
        <v>422</v>
      </c>
      <c r="C41" s="34"/>
      <c r="D41" s="57" t="s">
        <v>22</v>
      </c>
      <c r="E41" s="56"/>
      <c r="F41" s="32">
        <v>40000</v>
      </c>
      <c r="G41" s="21">
        <f t="shared" si="0"/>
        <v>5162215.2899999917</v>
      </c>
    </row>
    <row r="42" spans="1:7">
      <c r="A42" s="27" t="s">
        <v>311</v>
      </c>
      <c r="B42" s="28" t="s">
        <v>312</v>
      </c>
      <c r="C42" s="29" t="s">
        <v>313</v>
      </c>
      <c r="D42" s="30" t="s">
        <v>95</v>
      </c>
      <c r="E42" s="31">
        <v>77177.899999999994</v>
      </c>
      <c r="F42" s="32"/>
      <c r="G42" s="21">
        <f t="shared" si="0"/>
        <v>5239393.189999992</v>
      </c>
    </row>
    <row r="43" spans="1:7">
      <c r="A43" s="27" t="s">
        <v>311</v>
      </c>
      <c r="B43" s="28" t="s">
        <v>314</v>
      </c>
      <c r="C43" s="29" t="s">
        <v>313</v>
      </c>
      <c r="D43" s="30" t="s">
        <v>309</v>
      </c>
      <c r="E43" s="31">
        <f>106790.4-42271.2</f>
        <v>64519.199999999997</v>
      </c>
      <c r="F43" s="32"/>
      <c r="G43" s="21">
        <f t="shared" si="0"/>
        <v>5303912.3899999922</v>
      </c>
    </row>
    <row r="44" spans="1:7">
      <c r="A44" s="27" t="s">
        <v>315</v>
      </c>
      <c r="B44" s="28">
        <v>1098</v>
      </c>
      <c r="C44" s="29"/>
      <c r="D44" s="30" t="s">
        <v>22</v>
      </c>
      <c r="E44" s="31"/>
      <c r="F44" s="32">
        <v>55000</v>
      </c>
      <c r="G44" s="21">
        <f t="shared" si="0"/>
        <v>5248912.3899999922</v>
      </c>
    </row>
    <row r="45" spans="1:7">
      <c r="A45" s="33" t="s">
        <v>316</v>
      </c>
      <c r="B45" s="28">
        <v>1100</v>
      </c>
      <c r="C45" s="29"/>
      <c r="D45" s="30" t="s">
        <v>22</v>
      </c>
      <c r="E45" s="31"/>
      <c r="F45" s="32">
        <v>50000</v>
      </c>
      <c r="G45" s="21">
        <f t="shared" si="0"/>
        <v>5198912.3899999922</v>
      </c>
    </row>
    <row r="46" spans="1:7">
      <c r="A46" s="17" t="s">
        <v>317</v>
      </c>
      <c r="B46" s="18" t="s">
        <v>423</v>
      </c>
      <c r="C46" s="19"/>
      <c r="D46" s="20" t="s">
        <v>22</v>
      </c>
      <c r="E46" s="21"/>
      <c r="F46" s="22">
        <v>80000</v>
      </c>
      <c r="G46" s="21">
        <f t="shared" si="0"/>
        <v>5118912.3899999922</v>
      </c>
    </row>
    <row r="47" spans="1:7">
      <c r="A47" s="17" t="s">
        <v>73</v>
      </c>
      <c r="B47" s="18" t="s">
        <v>318</v>
      </c>
      <c r="C47" s="19"/>
      <c r="D47" s="20" t="s">
        <v>22</v>
      </c>
      <c r="E47" s="21"/>
      <c r="F47" s="22">
        <v>80000</v>
      </c>
      <c r="G47" s="21">
        <f t="shared" si="0"/>
        <v>5038912.3899999922</v>
      </c>
    </row>
    <row r="48" spans="1:7">
      <c r="A48" s="17" t="s">
        <v>74</v>
      </c>
      <c r="B48" s="18" t="s">
        <v>319</v>
      </c>
      <c r="C48" s="19"/>
      <c r="D48" s="20" t="s">
        <v>22</v>
      </c>
      <c r="E48" s="21"/>
      <c r="F48" s="22">
        <v>30000</v>
      </c>
      <c r="G48" s="21">
        <f t="shared" si="0"/>
        <v>5008912.3899999922</v>
      </c>
    </row>
    <row r="49" spans="1:7">
      <c r="A49" s="17" t="s">
        <v>75</v>
      </c>
      <c r="B49" s="18" t="s">
        <v>320</v>
      </c>
      <c r="C49" s="19"/>
      <c r="D49" s="20" t="s">
        <v>22</v>
      </c>
      <c r="E49" s="21"/>
      <c r="F49" s="22">
        <v>80000</v>
      </c>
      <c r="G49" s="21">
        <f t="shared" si="0"/>
        <v>4928912.3899999922</v>
      </c>
    </row>
    <row r="50" spans="1:7">
      <c r="A50" s="17" t="s">
        <v>76</v>
      </c>
      <c r="B50" s="18" t="s">
        <v>321</v>
      </c>
      <c r="C50" s="19"/>
      <c r="D50" s="20" t="s">
        <v>22</v>
      </c>
      <c r="E50" s="21"/>
      <c r="F50" s="22">
        <v>30000</v>
      </c>
      <c r="G50" s="21">
        <f t="shared" si="0"/>
        <v>4898912.3899999922</v>
      </c>
    </row>
    <row r="51" spans="1:7">
      <c r="A51" s="17" t="s">
        <v>77</v>
      </c>
      <c r="B51" s="18" t="s">
        <v>322</v>
      </c>
      <c r="C51" s="19"/>
      <c r="D51" s="20" t="s">
        <v>22</v>
      </c>
      <c r="E51" s="21"/>
      <c r="F51" s="22">
        <v>50000</v>
      </c>
      <c r="G51" s="21">
        <f t="shared" si="0"/>
        <v>4848912.3899999922</v>
      </c>
    </row>
    <row r="52" spans="1:7">
      <c r="A52" s="17" t="s">
        <v>77</v>
      </c>
      <c r="B52" s="18" t="s">
        <v>323</v>
      </c>
      <c r="C52" s="19" t="s">
        <v>324</v>
      </c>
      <c r="D52" s="20" t="s">
        <v>42</v>
      </c>
      <c r="E52" s="21">
        <v>265522.8</v>
      </c>
      <c r="F52" s="22"/>
      <c r="G52" s="21">
        <f t="shared" si="0"/>
        <v>5114435.189999992</v>
      </c>
    </row>
    <row r="53" spans="1:7">
      <c r="A53" s="17" t="s">
        <v>77</v>
      </c>
      <c r="B53" s="23" t="s">
        <v>325</v>
      </c>
      <c r="C53" s="24" t="s">
        <v>324</v>
      </c>
      <c r="D53" s="25" t="s">
        <v>95</v>
      </c>
      <c r="E53" s="26">
        <v>49478.400000000001</v>
      </c>
      <c r="F53" s="22"/>
      <c r="G53" s="21">
        <f t="shared" si="0"/>
        <v>5163913.5899999924</v>
      </c>
    </row>
    <row r="54" spans="1:7">
      <c r="A54" s="17" t="s">
        <v>77</v>
      </c>
      <c r="B54" s="23" t="s">
        <v>326</v>
      </c>
      <c r="C54" s="24" t="s">
        <v>324</v>
      </c>
      <c r="D54" s="25" t="s">
        <v>42</v>
      </c>
      <c r="E54" s="26">
        <f>23594-2664</f>
        <v>20930</v>
      </c>
      <c r="F54" s="22"/>
      <c r="G54" s="21">
        <f t="shared" si="0"/>
        <v>5184843.5899999924</v>
      </c>
    </row>
    <row r="55" spans="1:7">
      <c r="A55" s="17" t="s">
        <v>78</v>
      </c>
      <c r="B55" s="23" t="s">
        <v>327</v>
      </c>
      <c r="C55" s="24" t="s">
        <v>328</v>
      </c>
      <c r="D55" s="25" t="s">
        <v>42</v>
      </c>
      <c r="E55" s="26">
        <v>48528</v>
      </c>
      <c r="F55" s="22"/>
      <c r="G55" s="21">
        <f t="shared" si="0"/>
        <v>5233371.5899999924</v>
      </c>
    </row>
    <row r="56" spans="1:7">
      <c r="A56" s="27" t="s">
        <v>78</v>
      </c>
      <c r="B56" s="28">
        <v>1140</v>
      </c>
      <c r="C56" s="29"/>
      <c r="D56" s="30" t="s">
        <v>22</v>
      </c>
      <c r="E56" s="31"/>
      <c r="F56" s="32">
        <v>80000</v>
      </c>
      <c r="G56" s="21">
        <f t="shared" si="0"/>
        <v>5153371.5899999924</v>
      </c>
    </row>
    <row r="57" spans="1:7">
      <c r="A57" s="17" t="s">
        <v>329</v>
      </c>
      <c r="B57" s="18" t="s">
        <v>424</v>
      </c>
      <c r="C57" s="19"/>
      <c r="D57" s="20" t="s">
        <v>22</v>
      </c>
      <c r="E57" s="21"/>
      <c r="F57" s="21">
        <v>80000</v>
      </c>
      <c r="G57" s="21">
        <f t="shared" si="0"/>
        <v>5073371.5899999924</v>
      </c>
    </row>
    <row r="58" spans="1:7">
      <c r="A58" s="17" t="s">
        <v>330</v>
      </c>
      <c r="B58" s="23" t="s">
        <v>425</v>
      </c>
      <c r="C58" s="24"/>
      <c r="D58" s="25" t="s">
        <v>22</v>
      </c>
      <c r="E58" s="26"/>
      <c r="F58" s="26">
        <v>80000</v>
      </c>
      <c r="G58" s="21">
        <f t="shared" si="0"/>
        <v>4993371.5899999924</v>
      </c>
    </row>
    <row r="59" spans="1:7">
      <c r="A59" s="17" t="s">
        <v>79</v>
      </c>
      <c r="B59" s="23" t="s">
        <v>426</v>
      </c>
      <c r="C59" s="24"/>
      <c r="D59" s="25" t="s">
        <v>22</v>
      </c>
      <c r="E59" s="26"/>
      <c r="F59" s="26">
        <v>30000</v>
      </c>
      <c r="G59" s="21">
        <f t="shared" si="0"/>
        <v>4963371.5899999924</v>
      </c>
    </row>
    <row r="60" spans="1:7">
      <c r="A60" s="27" t="s">
        <v>80</v>
      </c>
      <c r="B60" s="28">
        <v>1168</v>
      </c>
      <c r="C60" s="29"/>
      <c r="D60" s="30" t="s">
        <v>22</v>
      </c>
      <c r="E60" s="31"/>
      <c r="F60" s="31">
        <v>80000</v>
      </c>
      <c r="G60" s="21">
        <f t="shared" si="0"/>
        <v>4883371.5899999924</v>
      </c>
    </row>
    <row r="61" spans="1:7">
      <c r="A61" s="27" t="s">
        <v>81</v>
      </c>
      <c r="B61" s="28">
        <v>1175</v>
      </c>
      <c r="C61" s="29"/>
      <c r="D61" s="30" t="s">
        <v>22</v>
      </c>
      <c r="E61" s="31"/>
      <c r="F61" s="31">
        <v>30000</v>
      </c>
      <c r="G61" s="21">
        <f t="shared" si="0"/>
        <v>4853371.5899999924</v>
      </c>
    </row>
    <row r="62" spans="1:7">
      <c r="A62" s="27" t="s">
        <v>82</v>
      </c>
      <c r="B62" s="28">
        <v>1179</v>
      </c>
      <c r="C62" s="29"/>
      <c r="D62" s="30" t="s">
        <v>22</v>
      </c>
      <c r="E62" s="31"/>
      <c r="F62" s="31">
        <v>18000</v>
      </c>
      <c r="G62" s="21">
        <f t="shared" si="0"/>
        <v>4835371.5899999924</v>
      </c>
    </row>
    <row r="63" spans="1:7">
      <c r="A63" s="27" t="s">
        <v>82</v>
      </c>
      <c r="B63" s="28">
        <v>1178</v>
      </c>
      <c r="C63" s="29"/>
      <c r="D63" s="30" t="s">
        <v>22</v>
      </c>
      <c r="E63" s="31"/>
      <c r="F63" s="31">
        <v>80000</v>
      </c>
      <c r="G63" s="21">
        <f t="shared" si="0"/>
        <v>4755371.5899999924</v>
      </c>
    </row>
    <row r="64" spans="1:7">
      <c r="A64" s="33" t="s">
        <v>83</v>
      </c>
      <c r="B64" s="28">
        <v>1185</v>
      </c>
      <c r="C64" s="29"/>
      <c r="D64" s="30" t="s">
        <v>22</v>
      </c>
      <c r="E64" s="31"/>
      <c r="F64" s="31">
        <v>30000</v>
      </c>
      <c r="G64" s="21">
        <f t="shared" si="0"/>
        <v>4725371.5899999924</v>
      </c>
    </row>
    <row r="65" spans="1:7">
      <c r="A65" s="17" t="s">
        <v>84</v>
      </c>
      <c r="B65" s="18" t="s">
        <v>427</v>
      </c>
      <c r="C65" s="19"/>
      <c r="D65" s="20" t="s">
        <v>22</v>
      </c>
      <c r="E65" s="21"/>
      <c r="F65" s="22">
        <v>80000</v>
      </c>
      <c r="G65" s="21">
        <f t="shared" si="0"/>
        <v>4645371.5899999924</v>
      </c>
    </row>
    <row r="66" spans="1:7">
      <c r="A66" s="17" t="s">
        <v>85</v>
      </c>
      <c r="B66" s="23" t="s">
        <v>428</v>
      </c>
      <c r="C66" s="24"/>
      <c r="D66" s="25" t="s">
        <v>22</v>
      </c>
      <c r="E66" s="26"/>
      <c r="F66" s="22">
        <v>30000</v>
      </c>
      <c r="G66" s="21">
        <f t="shared" si="0"/>
        <v>4615371.5899999924</v>
      </c>
    </row>
    <row r="67" spans="1:7">
      <c r="A67" s="17" t="s">
        <v>86</v>
      </c>
      <c r="B67" s="23" t="s">
        <v>429</v>
      </c>
      <c r="C67" s="24"/>
      <c r="D67" s="25" t="s">
        <v>22</v>
      </c>
      <c r="E67" s="26"/>
      <c r="F67" s="22">
        <v>65000</v>
      </c>
      <c r="G67" s="21">
        <f t="shared" si="0"/>
        <v>4550371.5899999924</v>
      </c>
    </row>
    <row r="68" spans="1:7">
      <c r="A68" s="27" t="s">
        <v>87</v>
      </c>
      <c r="B68" s="28">
        <v>1202</v>
      </c>
      <c r="C68" s="29"/>
      <c r="D68" s="25" t="s">
        <v>22</v>
      </c>
      <c r="E68" s="31"/>
      <c r="F68" s="32">
        <v>15000</v>
      </c>
      <c r="G68" s="21">
        <f t="shared" si="0"/>
        <v>4535371.5899999924</v>
      </c>
    </row>
    <row r="69" spans="1:7">
      <c r="A69" s="27" t="s">
        <v>88</v>
      </c>
      <c r="B69" s="28">
        <v>1206</v>
      </c>
      <c r="C69" s="29"/>
      <c r="D69" s="25" t="s">
        <v>22</v>
      </c>
      <c r="E69" s="31"/>
      <c r="F69" s="32">
        <v>30000</v>
      </c>
      <c r="G69" s="21">
        <f t="shared" si="0"/>
        <v>4505371.5899999924</v>
      </c>
    </row>
    <row r="70" spans="1:7">
      <c r="A70" s="27" t="s">
        <v>89</v>
      </c>
      <c r="B70" s="28">
        <v>1208</v>
      </c>
      <c r="C70" s="29"/>
      <c r="D70" s="25" t="s">
        <v>22</v>
      </c>
      <c r="E70" s="31"/>
      <c r="F70" s="32">
        <v>80000</v>
      </c>
      <c r="G70" s="21">
        <f t="shared" si="0"/>
        <v>4425371.5899999924</v>
      </c>
    </row>
    <row r="71" spans="1:7">
      <c r="A71" s="27" t="s">
        <v>90</v>
      </c>
      <c r="B71" s="28" t="s">
        <v>91</v>
      </c>
      <c r="C71" s="29" t="s">
        <v>92</v>
      </c>
      <c r="D71" s="25" t="s">
        <v>93</v>
      </c>
      <c r="E71" s="32">
        <v>479833.2</v>
      </c>
      <c r="F71" s="32"/>
      <c r="G71" s="21">
        <f t="shared" si="0"/>
        <v>4905204.7899999926</v>
      </c>
    </row>
    <row r="72" spans="1:7">
      <c r="A72" s="27" t="s">
        <v>90</v>
      </c>
      <c r="B72" s="28" t="s">
        <v>94</v>
      </c>
      <c r="C72" s="29" t="s">
        <v>92</v>
      </c>
      <c r="D72" s="25" t="s">
        <v>95</v>
      </c>
      <c r="E72" s="32">
        <v>125324</v>
      </c>
      <c r="F72" s="32"/>
      <c r="G72" s="21">
        <f t="shared" si="0"/>
        <v>5030528.7899999926</v>
      </c>
    </row>
    <row r="73" spans="1:7">
      <c r="A73" s="27" t="s">
        <v>90</v>
      </c>
      <c r="B73" s="28" t="s">
        <v>96</v>
      </c>
      <c r="C73" s="29" t="s">
        <v>92</v>
      </c>
      <c r="D73" s="25" t="s">
        <v>97</v>
      </c>
      <c r="E73" s="32">
        <f>71568-30672-40896</f>
        <v>0</v>
      </c>
      <c r="F73" s="32"/>
      <c r="G73" s="21">
        <f t="shared" si="0"/>
        <v>5030528.7899999926</v>
      </c>
    </row>
    <row r="74" spans="1:7">
      <c r="A74" s="33" t="s">
        <v>90</v>
      </c>
      <c r="B74" s="28">
        <v>1219</v>
      </c>
      <c r="C74" s="29"/>
      <c r="D74" s="25" t="s">
        <v>22</v>
      </c>
      <c r="E74" s="31"/>
      <c r="F74" s="32">
        <v>80000</v>
      </c>
      <c r="G74" s="21">
        <f t="shared" si="0"/>
        <v>4950528.7899999926</v>
      </c>
    </row>
    <row r="75" spans="1:7">
      <c r="A75" s="27" t="s">
        <v>98</v>
      </c>
      <c r="B75" s="28">
        <v>1223</v>
      </c>
      <c r="C75" s="29"/>
      <c r="D75" s="25" t="s">
        <v>22</v>
      </c>
      <c r="E75" s="31"/>
      <c r="F75" s="32">
        <v>18000</v>
      </c>
      <c r="G75" s="21">
        <f t="shared" ref="G75:G138" si="1">G74+E75-F75</f>
        <v>4932528.7899999926</v>
      </c>
    </row>
    <row r="76" spans="1:7">
      <c r="A76" s="27" t="s">
        <v>268</v>
      </c>
      <c r="B76" s="28">
        <v>1227</v>
      </c>
      <c r="C76" s="29"/>
      <c r="D76" s="25" t="s">
        <v>22</v>
      </c>
      <c r="E76" s="31"/>
      <c r="F76" s="32">
        <v>9863.25</v>
      </c>
      <c r="G76" s="21">
        <f t="shared" si="1"/>
        <v>4922665.5399999926</v>
      </c>
    </row>
    <row r="77" spans="1:7">
      <c r="A77" s="27" t="s">
        <v>99</v>
      </c>
      <c r="B77" s="28">
        <v>1229</v>
      </c>
      <c r="C77" s="29"/>
      <c r="D77" s="25" t="s">
        <v>22</v>
      </c>
      <c r="E77" s="31"/>
      <c r="F77" s="32">
        <v>30000</v>
      </c>
      <c r="G77" s="21">
        <f t="shared" si="1"/>
        <v>4892665.5399999926</v>
      </c>
    </row>
    <row r="78" spans="1:7">
      <c r="A78" s="27" t="s">
        <v>100</v>
      </c>
      <c r="B78" s="28">
        <v>1233</v>
      </c>
      <c r="C78" s="29"/>
      <c r="D78" s="25" t="s">
        <v>22</v>
      </c>
      <c r="E78" s="31"/>
      <c r="F78" s="32">
        <v>60000</v>
      </c>
      <c r="G78" s="21">
        <f t="shared" si="1"/>
        <v>4832665.5399999926</v>
      </c>
    </row>
    <row r="79" spans="1:7">
      <c r="A79" s="17" t="s">
        <v>101</v>
      </c>
      <c r="B79" s="18" t="s">
        <v>102</v>
      </c>
      <c r="C79" s="19"/>
      <c r="D79" s="20" t="s">
        <v>22</v>
      </c>
      <c r="E79" s="21"/>
      <c r="F79" s="22">
        <v>20000</v>
      </c>
      <c r="G79" s="21">
        <f t="shared" si="1"/>
        <v>4812665.5399999926</v>
      </c>
    </row>
    <row r="80" spans="1:7">
      <c r="A80" s="17" t="s">
        <v>103</v>
      </c>
      <c r="B80" s="23" t="s">
        <v>104</v>
      </c>
      <c r="C80" s="24"/>
      <c r="D80" s="20" t="s">
        <v>22</v>
      </c>
      <c r="E80" s="26"/>
      <c r="F80" s="22">
        <v>30000</v>
      </c>
      <c r="G80" s="21">
        <f t="shared" si="1"/>
        <v>4782665.5399999926</v>
      </c>
    </row>
    <row r="81" spans="1:7">
      <c r="A81" s="17" t="s">
        <v>105</v>
      </c>
      <c r="B81" s="23" t="s">
        <v>106</v>
      </c>
      <c r="C81" s="24"/>
      <c r="D81" s="20" t="s">
        <v>22</v>
      </c>
      <c r="E81" s="26"/>
      <c r="F81" s="22">
        <v>80000</v>
      </c>
      <c r="G81" s="21">
        <f t="shared" si="1"/>
        <v>4702665.5399999926</v>
      </c>
    </row>
    <row r="82" spans="1:7">
      <c r="A82" s="27" t="s">
        <v>107</v>
      </c>
      <c r="B82" s="28">
        <v>1251</v>
      </c>
      <c r="C82" s="29"/>
      <c r="D82" s="20" t="s">
        <v>22</v>
      </c>
      <c r="E82" s="31"/>
      <c r="F82" s="32">
        <v>30000</v>
      </c>
      <c r="G82" s="21">
        <f t="shared" si="1"/>
        <v>4672665.5399999926</v>
      </c>
    </row>
    <row r="83" spans="1:7">
      <c r="A83" s="27" t="s">
        <v>108</v>
      </c>
      <c r="B83" s="28">
        <v>1253</v>
      </c>
      <c r="C83" s="29"/>
      <c r="D83" s="20" t="s">
        <v>22</v>
      </c>
      <c r="E83" s="31"/>
      <c r="F83" s="32">
        <v>80000</v>
      </c>
      <c r="G83" s="21">
        <f t="shared" si="1"/>
        <v>4592665.5399999926</v>
      </c>
    </row>
    <row r="84" spans="1:7">
      <c r="A84" s="27" t="s">
        <v>109</v>
      </c>
      <c r="B84" s="28" t="s">
        <v>110</v>
      </c>
      <c r="C84" s="29" t="s">
        <v>111</v>
      </c>
      <c r="D84" s="20" t="s">
        <v>38</v>
      </c>
      <c r="E84" s="31">
        <v>28080</v>
      </c>
      <c r="F84" s="32"/>
      <c r="G84" s="21">
        <f t="shared" si="1"/>
        <v>4620745.5399999926</v>
      </c>
    </row>
    <row r="85" spans="1:7">
      <c r="A85" s="27" t="s">
        <v>112</v>
      </c>
      <c r="B85" s="28">
        <v>1259</v>
      </c>
      <c r="C85" s="29"/>
      <c r="D85" s="20" t="s">
        <v>22</v>
      </c>
      <c r="E85" s="31"/>
      <c r="F85" s="32">
        <v>30000</v>
      </c>
      <c r="G85" s="21">
        <f t="shared" si="1"/>
        <v>4590745.5399999926</v>
      </c>
    </row>
    <row r="86" spans="1:7">
      <c r="A86" s="33" t="s">
        <v>113</v>
      </c>
      <c r="B86" s="28">
        <v>1261</v>
      </c>
      <c r="C86" s="29"/>
      <c r="D86" s="20" t="s">
        <v>22</v>
      </c>
      <c r="E86" s="31"/>
      <c r="F86" s="32">
        <v>18000</v>
      </c>
      <c r="G86" s="21">
        <f t="shared" si="1"/>
        <v>4572745.5399999926</v>
      </c>
    </row>
    <row r="87" spans="1:7">
      <c r="A87" s="27" t="s">
        <v>114</v>
      </c>
      <c r="B87" s="28">
        <v>1268</v>
      </c>
      <c r="C87" s="29"/>
      <c r="D87" s="20" t="s">
        <v>22</v>
      </c>
      <c r="E87" s="31"/>
      <c r="F87" s="32">
        <v>80000</v>
      </c>
      <c r="G87" s="21">
        <f t="shared" si="1"/>
        <v>4492745.5399999926</v>
      </c>
    </row>
    <row r="88" spans="1:7">
      <c r="A88" s="27" t="s">
        <v>115</v>
      </c>
      <c r="B88" s="28">
        <v>1268</v>
      </c>
      <c r="C88" s="29"/>
      <c r="D88" s="20" t="s">
        <v>22</v>
      </c>
      <c r="E88" s="31"/>
      <c r="F88" s="32">
        <v>30000</v>
      </c>
      <c r="G88" s="21">
        <f t="shared" si="1"/>
        <v>4462745.5399999926</v>
      </c>
    </row>
    <row r="89" spans="1:7">
      <c r="A89" s="27" t="s">
        <v>116</v>
      </c>
      <c r="B89" s="28">
        <v>1271</v>
      </c>
      <c r="C89" s="29"/>
      <c r="D89" s="20" t="s">
        <v>22</v>
      </c>
      <c r="E89" s="31"/>
      <c r="F89" s="32">
        <v>80000</v>
      </c>
      <c r="G89" s="21">
        <f t="shared" si="1"/>
        <v>4382745.5399999926</v>
      </c>
    </row>
    <row r="90" spans="1:7">
      <c r="A90" s="27" t="s">
        <v>117</v>
      </c>
      <c r="B90" s="28">
        <v>1276</v>
      </c>
      <c r="C90" s="29"/>
      <c r="D90" s="20" t="s">
        <v>22</v>
      </c>
      <c r="E90" s="31"/>
      <c r="F90" s="32">
        <v>30000</v>
      </c>
      <c r="G90" s="21">
        <f t="shared" si="1"/>
        <v>4352745.5399999926</v>
      </c>
    </row>
    <row r="91" spans="1:7">
      <c r="A91" s="27" t="s">
        <v>118</v>
      </c>
      <c r="B91" s="28">
        <v>1274</v>
      </c>
      <c r="C91" s="29"/>
      <c r="D91" s="20" t="s">
        <v>22</v>
      </c>
      <c r="E91" s="31"/>
      <c r="F91" s="32">
        <v>50000</v>
      </c>
      <c r="G91" s="21">
        <f t="shared" si="1"/>
        <v>4302745.5399999926</v>
      </c>
    </row>
    <row r="92" spans="1:7">
      <c r="A92" s="17" t="s">
        <v>119</v>
      </c>
      <c r="B92" s="18" t="s">
        <v>120</v>
      </c>
      <c r="C92" s="19"/>
      <c r="D92" s="20" t="s">
        <v>22</v>
      </c>
      <c r="E92" s="21"/>
      <c r="F92" s="22">
        <v>80000</v>
      </c>
      <c r="G92" s="21">
        <f t="shared" si="1"/>
        <v>4222745.5399999926</v>
      </c>
    </row>
    <row r="93" spans="1:7">
      <c r="A93" s="17" t="s">
        <v>121</v>
      </c>
      <c r="B93" s="23" t="s">
        <v>122</v>
      </c>
      <c r="C93" s="19"/>
      <c r="D93" s="20" t="s">
        <v>22</v>
      </c>
      <c r="E93" s="26"/>
      <c r="F93" s="22">
        <v>90000</v>
      </c>
      <c r="G93" s="21">
        <f t="shared" si="1"/>
        <v>4132745.5399999926</v>
      </c>
    </row>
    <row r="94" spans="1:7">
      <c r="A94" s="17" t="s">
        <v>123</v>
      </c>
      <c r="B94" s="23" t="s">
        <v>124</v>
      </c>
      <c r="C94" s="19"/>
      <c r="D94" s="20" t="s">
        <v>22</v>
      </c>
      <c r="E94" s="26"/>
      <c r="F94" s="22">
        <v>20000</v>
      </c>
      <c r="G94" s="21">
        <f t="shared" si="1"/>
        <v>4112745.5399999926</v>
      </c>
    </row>
    <row r="95" spans="1:7">
      <c r="A95" s="17" t="s">
        <v>125</v>
      </c>
      <c r="B95" s="23" t="s">
        <v>126</v>
      </c>
      <c r="C95" s="19"/>
      <c r="D95" s="20" t="s">
        <v>22</v>
      </c>
      <c r="E95" s="26"/>
      <c r="F95" s="22">
        <v>30000</v>
      </c>
      <c r="G95" s="21">
        <f t="shared" si="1"/>
        <v>4082745.5399999926</v>
      </c>
    </row>
    <row r="96" spans="1:7">
      <c r="A96" s="17" t="s">
        <v>127</v>
      </c>
      <c r="B96" s="23" t="s">
        <v>128</v>
      </c>
      <c r="C96" s="19"/>
      <c r="D96" s="20" t="s">
        <v>22</v>
      </c>
      <c r="E96" s="26"/>
      <c r="F96" s="22">
        <v>80000</v>
      </c>
      <c r="G96" s="21">
        <f t="shared" si="1"/>
        <v>4002745.5399999926</v>
      </c>
    </row>
    <row r="97" spans="1:7">
      <c r="A97" s="17" t="s">
        <v>129</v>
      </c>
      <c r="B97" s="23" t="s">
        <v>130</v>
      </c>
      <c r="C97" s="19"/>
      <c r="D97" s="20" t="s">
        <v>22</v>
      </c>
      <c r="E97" s="26"/>
      <c r="F97" s="22">
        <v>70000</v>
      </c>
      <c r="G97" s="21">
        <f t="shared" si="1"/>
        <v>3932745.5399999926</v>
      </c>
    </row>
    <row r="98" spans="1:7">
      <c r="A98" s="17" t="s">
        <v>131</v>
      </c>
      <c r="B98" s="23" t="s">
        <v>132</v>
      </c>
      <c r="C98" s="19"/>
      <c r="D98" s="20" t="s">
        <v>22</v>
      </c>
      <c r="E98" s="26"/>
      <c r="F98" s="22">
        <v>18000</v>
      </c>
      <c r="G98" s="21">
        <f t="shared" si="1"/>
        <v>3914745.5399999926</v>
      </c>
    </row>
    <row r="99" spans="1:7">
      <c r="A99" s="17" t="s">
        <v>131</v>
      </c>
      <c r="B99" s="18" t="s">
        <v>331</v>
      </c>
      <c r="C99" s="19" t="s">
        <v>133</v>
      </c>
      <c r="D99" s="20" t="s">
        <v>95</v>
      </c>
      <c r="E99" s="21">
        <v>44566.8</v>
      </c>
      <c r="F99" s="22"/>
      <c r="G99" s="21">
        <f t="shared" si="1"/>
        <v>3959312.3399999924</v>
      </c>
    </row>
    <row r="100" spans="1:7">
      <c r="A100" s="17" t="s">
        <v>131</v>
      </c>
      <c r="B100" s="23" t="s">
        <v>332</v>
      </c>
      <c r="C100" s="19" t="s">
        <v>333</v>
      </c>
      <c r="D100" s="25" t="s">
        <v>95</v>
      </c>
      <c r="E100" s="26">
        <v>43554.8</v>
      </c>
      <c r="F100" s="22"/>
      <c r="G100" s="21">
        <f t="shared" si="1"/>
        <v>4002867.1399999922</v>
      </c>
    </row>
    <row r="101" spans="1:7">
      <c r="A101" s="17" t="s">
        <v>131</v>
      </c>
      <c r="B101" s="23" t="s">
        <v>334</v>
      </c>
      <c r="C101" s="19" t="s">
        <v>335</v>
      </c>
      <c r="D101" s="25" t="s">
        <v>95</v>
      </c>
      <c r="E101" s="26">
        <v>94090.4</v>
      </c>
      <c r="F101" s="22"/>
      <c r="G101" s="21">
        <f t="shared" si="1"/>
        <v>4096957.5399999921</v>
      </c>
    </row>
    <row r="102" spans="1:7">
      <c r="A102" s="17" t="s">
        <v>131</v>
      </c>
      <c r="B102" s="28" t="s">
        <v>336</v>
      </c>
      <c r="C102" s="19" t="s">
        <v>337</v>
      </c>
      <c r="D102" s="30" t="s">
        <v>42</v>
      </c>
      <c r="E102" s="31">
        <v>358736</v>
      </c>
      <c r="F102" s="32"/>
      <c r="G102" s="21">
        <f t="shared" si="1"/>
        <v>4455693.5399999917</v>
      </c>
    </row>
    <row r="103" spans="1:7">
      <c r="A103" s="17" t="s">
        <v>131</v>
      </c>
      <c r="B103" s="28" t="s">
        <v>338</v>
      </c>
      <c r="C103" s="19" t="s">
        <v>339</v>
      </c>
      <c r="D103" s="30" t="s">
        <v>97</v>
      </c>
      <c r="E103" s="31">
        <v>135266.4</v>
      </c>
      <c r="F103" s="32"/>
      <c r="G103" s="21">
        <f t="shared" si="1"/>
        <v>4590959.939999992</v>
      </c>
    </row>
    <row r="104" spans="1:7">
      <c r="A104" s="17" t="s">
        <v>131</v>
      </c>
      <c r="B104" s="28" t="s">
        <v>340</v>
      </c>
      <c r="C104" s="19" t="s">
        <v>341</v>
      </c>
      <c r="D104" s="30" t="s">
        <v>95</v>
      </c>
      <c r="E104" s="31">
        <v>36255</v>
      </c>
      <c r="F104" s="32"/>
      <c r="G104" s="21">
        <f t="shared" si="1"/>
        <v>4627214.939999992</v>
      </c>
    </row>
    <row r="105" spans="1:7">
      <c r="A105" s="17" t="s">
        <v>188</v>
      </c>
      <c r="B105" s="18" t="s">
        <v>189</v>
      </c>
      <c r="C105" s="19"/>
      <c r="D105" s="20" t="s">
        <v>22</v>
      </c>
      <c r="E105" s="21"/>
      <c r="F105" s="22">
        <v>50000</v>
      </c>
      <c r="G105" s="21">
        <f t="shared" si="1"/>
        <v>4577214.939999992</v>
      </c>
    </row>
    <row r="106" spans="1:7">
      <c r="A106" s="17" t="s">
        <v>134</v>
      </c>
      <c r="B106" s="18" t="s">
        <v>190</v>
      </c>
      <c r="C106" s="19"/>
      <c r="D106" s="20" t="s">
        <v>22</v>
      </c>
      <c r="E106" s="21"/>
      <c r="F106" s="22">
        <v>20000</v>
      </c>
      <c r="G106" s="21">
        <f t="shared" si="1"/>
        <v>4557214.939999992</v>
      </c>
    </row>
    <row r="107" spans="1:7">
      <c r="A107" s="17" t="s">
        <v>134</v>
      </c>
      <c r="B107" s="18" t="s">
        <v>135</v>
      </c>
      <c r="C107" s="19" t="s">
        <v>136</v>
      </c>
      <c r="D107" s="20" t="s">
        <v>95</v>
      </c>
      <c r="E107" s="21">
        <v>751.6</v>
      </c>
      <c r="F107" s="22"/>
      <c r="G107" s="21">
        <f t="shared" si="1"/>
        <v>4557966.5399999917</v>
      </c>
    </row>
    <row r="108" spans="1:7">
      <c r="A108" s="17" t="s">
        <v>191</v>
      </c>
      <c r="B108" s="23" t="s">
        <v>430</v>
      </c>
      <c r="C108" s="24"/>
      <c r="D108" s="25" t="s">
        <v>22</v>
      </c>
      <c r="E108" s="26"/>
      <c r="F108" s="22">
        <v>40000</v>
      </c>
      <c r="G108" s="21">
        <f t="shared" si="1"/>
        <v>4517966.5399999917</v>
      </c>
    </row>
    <row r="109" spans="1:7">
      <c r="A109" s="17" t="s">
        <v>192</v>
      </c>
      <c r="B109" s="23" t="s">
        <v>431</v>
      </c>
      <c r="C109" s="24"/>
      <c r="D109" s="25" t="s">
        <v>22</v>
      </c>
      <c r="E109" s="26"/>
      <c r="F109" s="22">
        <v>28000</v>
      </c>
      <c r="G109" s="21">
        <f t="shared" si="1"/>
        <v>4489966.5399999917</v>
      </c>
    </row>
    <row r="110" spans="1:7">
      <c r="A110" s="17" t="s">
        <v>193</v>
      </c>
      <c r="B110" s="23" t="s">
        <v>432</v>
      </c>
      <c r="C110" s="24"/>
      <c r="D110" s="25" t="s">
        <v>22</v>
      </c>
      <c r="E110" s="26"/>
      <c r="F110" s="22">
        <v>68000</v>
      </c>
      <c r="G110" s="21">
        <f t="shared" si="1"/>
        <v>4421966.5399999917</v>
      </c>
    </row>
    <row r="111" spans="1:7">
      <c r="A111" s="17" t="s">
        <v>194</v>
      </c>
      <c r="B111" s="23" t="s">
        <v>433</v>
      </c>
      <c r="C111" s="24"/>
      <c r="D111" s="25" t="s">
        <v>22</v>
      </c>
      <c r="E111" s="26"/>
      <c r="F111" s="22">
        <v>38000</v>
      </c>
      <c r="G111" s="21">
        <f t="shared" si="1"/>
        <v>4383966.5399999917</v>
      </c>
    </row>
    <row r="112" spans="1:7">
      <c r="A112" s="17" t="s">
        <v>195</v>
      </c>
      <c r="B112" s="23" t="s">
        <v>434</v>
      </c>
      <c r="C112" s="24"/>
      <c r="D112" s="25" t="s">
        <v>22</v>
      </c>
      <c r="E112" s="26"/>
      <c r="F112" s="22">
        <v>25000</v>
      </c>
      <c r="G112" s="21">
        <f t="shared" si="1"/>
        <v>4358966.5399999917</v>
      </c>
    </row>
    <row r="113" spans="1:7">
      <c r="A113" s="17" t="s">
        <v>196</v>
      </c>
      <c r="B113" s="23" t="s">
        <v>435</v>
      </c>
      <c r="C113" s="24"/>
      <c r="D113" s="25" t="s">
        <v>22</v>
      </c>
      <c r="E113" s="26"/>
      <c r="F113" s="22">
        <v>30000</v>
      </c>
      <c r="G113" s="21">
        <f t="shared" si="1"/>
        <v>4328966.5399999917</v>
      </c>
    </row>
    <row r="114" spans="1:7">
      <c r="A114" s="17" t="s">
        <v>196</v>
      </c>
      <c r="B114" s="23" t="s">
        <v>436</v>
      </c>
      <c r="C114" s="24"/>
      <c r="D114" s="25" t="s">
        <v>22</v>
      </c>
      <c r="E114" s="26"/>
      <c r="F114" s="22">
        <v>40000</v>
      </c>
      <c r="G114" s="21">
        <f t="shared" si="1"/>
        <v>4288966.5399999917</v>
      </c>
    </row>
    <row r="115" spans="1:7">
      <c r="A115" s="17" t="s">
        <v>137</v>
      </c>
      <c r="B115" s="23" t="s">
        <v>138</v>
      </c>
      <c r="C115" s="24" t="s">
        <v>139</v>
      </c>
      <c r="D115" s="25" t="s">
        <v>42</v>
      </c>
      <c r="E115" s="26">
        <v>192836.8</v>
      </c>
      <c r="F115" s="22"/>
      <c r="G115" s="21">
        <f t="shared" si="1"/>
        <v>4481803.3399999915</v>
      </c>
    </row>
    <row r="116" spans="1:7">
      <c r="A116" s="17" t="s">
        <v>140</v>
      </c>
      <c r="B116" s="23" t="s">
        <v>141</v>
      </c>
      <c r="C116" s="24" t="s">
        <v>142</v>
      </c>
      <c r="D116" s="25" t="s">
        <v>42</v>
      </c>
      <c r="E116" s="26">
        <v>115894.8</v>
      </c>
      <c r="F116" s="22"/>
      <c r="G116" s="21">
        <f t="shared" si="1"/>
        <v>4597698.1399999913</v>
      </c>
    </row>
    <row r="117" spans="1:7">
      <c r="A117" s="27" t="s">
        <v>140</v>
      </c>
      <c r="B117" s="28">
        <v>1338</v>
      </c>
      <c r="C117" s="29"/>
      <c r="D117" s="30" t="s">
        <v>22</v>
      </c>
      <c r="E117" s="31"/>
      <c r="F117" s="32">
        <v>20000</v>
      </c>
      <c r="G117" s="21">
        <f t="shared" si="1"/>
        <v>4577698.1399999913</v>
      </c>
    </row>
    <row r="118" spans="1:7">
      <c r="A118" s="27" t="s">
        <v>197</v>
      </c>
      <c r="B118" s="28">
        <v>1345</v>
      </c>
      <c r="C118" s="29"/>
      <c r="D118" s="30" t="s">
        <v>22</v>
      </c>
      <c r="E118" s="31"/>
      <c r="F118" s="32">
        <v>30000</v>
      </c>
      <c r="G118" s="21">
        <f t="shared" si="1"/>
        <v>4547698.1399999913</v>
      </c>
    </row>
    <row r="119" spans="1:7">
      <c r="A119" s="27" t="s">
        <v>198</v>
      </c>
      <c r="B119" s="28">
        <v>1351</v>
      </c>
      <c r="C119" s="29"/>
      <c r="D119" s="30" t="s">
        <v>22</v>
      </c>
      <c r="E119" s="31"/>
      <c r="F119" s="32">
        <v>33000</v>
      </c>
      <c r="G119" s="21">
        <f t="shared" si="1"/>
        <v>4514698.1399999913</v>
      </c>
    </row>
    <row r="120" spans="1:7">
      <c r="A120" s="33" t="s">
        <v>199</v>
      </c>
      <c r="B120" s="28">
        <v>1353</v>
      </c>
      <c r="C120" s="29"/>
      <c r="D120" s="30" t="s">
        <v>22</v>
      </c>
      <c r="E120" s="31"/>
      <c r="F120" s="32">
        <v>43000</v>
      </c>
      <c r="G120" s="21">
        <f t="shared" si="1"/>
        <v>4471698.1399999913</v>
      </c>
    </row>
    <row r="121" spans="1:7">
      <c r="A121" s="17" t="s">
        <v>200</v>
      </c>
      <c r="B121" s="23" t="s">
        <v>201</v>
      </c>
      <c r="C121" s="24"/>
      <c r="D121" s="25" t="s">
        <v>22</v>
      </c>
      <c r="E121" s="26"/>
      <c r="F121" s="22">
        <v>60000</v>
      </c>
      <c r="G121" s="21">
        <f t="shared" si="1"/>
        <v>4411698.1399999913</v>
      </c>
    </row>
    <row r="122" spans="1:7">
      <c r="A122" s="17" t="s">
        <v>202</v>
      </c>
      <c r="B122" s="23" t="s">
        <v>203</v>
      </c>
      <c r="C122" s="24"/>
      <c r="D122" s="25" t="s">
        <v>22</v>
      </c>
      <c r="E122" s="26"/>
      <c r="F122" s="22">
        <v>30000</v>
      </c>
      <c r="G122" s="21">
        <f t="shared" si="1"/>
        <v>4381698.1399999913</v>
      </c>
    </row>
    <row r="123" spans="1:7">
      <c r="A123" s="17" t="s">
        <v>204</v>
      </c>
      <c r="B123" s="23" t="s">
        <v>205</v>
      </c>
      <c r="C123" s="24"/>
      <c r="D123" s="25" t="s">
        <v>22</v>
      </c>
      <c r="E123" s="26"/>
      <c r="F123" s="22">
        <v>45000</v>
      </c>
      <c r="G123" s="21">
        <f t="shared" si="1"/>
        <v>4336698.1399999913</v>
      </c>
    </row>
    <row r="124" spans="1:7">
      <c r="A124" s="17" t="s">
        <v>206</v>
      </c>
      <c r="B124" s="23" t="s">
        <v>207</v>
      </c>
      <c r="C124" s="24"/>
      <c r="D124" s="25" t="s">
        <v>22</v>
      </c>
      <c r="E124" s="26"/>
      <c r="F124" s="22">
        <v>20000</v>
      </c>
      <c r="G124" s="21">
        <f t="shared" si="1"/>
        <v>4316698.1399999913</v>
      </c>
    </row>
    <row r="125" spans="1:7">
      <c r="A125" s="17" t="s">
        <v>208</v>
      </c>
      <c r="B125" s="23" t="s">
        <v>209</v>
      </c>
      <c r="C125" s="24"/>
      <c r="D125" s="25" t="s">
        <v>22</v>
      </c>
      <c r="E125" s="26"/>
      <c r="F125" s="22">
        <v>20000</v>
      </c>
      <c r="G125" s="21">
        <f t="shared" si="1"/>
        <v>4296698.1399999913</v>
      </c>
    </row>
    <row r="126" spans="1:7">
      <c r="A126" s="17" t="s">
        <v>210</v>
      </c>
      <c r="B126" s="23" t="s">
        <v>211</v>
      </c>
      <c r="C126" s="24"/>
      <c r="D126" s="25" t="s">
        <v>22</v>
      </c>
      <c r="E126" s="26"/>
      <c r="F126" s="22">
        <v>15000</v>
      </c>
      <c r="G126" s="21">
        <f t="shared" si="1"/>
        <v>4281698.1399999913</v>
      </c>
    </row>
    <row r="127" spans="1:7">
      <c r="A127" s="17" t="s">
        <v>212</v>
      </c>
      <c r="B127" s="23" t="s">
        <v>213</v>
      </c>
      <c r="C127" s="24"/>
      <c r="D127" s="25" t="s">
        <v>22</v>
      </c>
      <c r="E127" s="26"/>
      <c r="F127" s="22">
        <v>60000</v>
      </c>
      <c r="G127" s="21">
        <f t="shared" si="1"/>
        <v>4221698.1399999913</v>
      </c>
    </row>
    <row r="128" spans="1:7">
      <c r="A128" s="17" t="s">
        <v>111</v>
      </c>
      <c r="B128" s="23" t="s">
        <v>214</v>
      </c>
      <c r="C128" s="24"/>
      <c r="D128" s="25" t="s">
        <v>22</v>
      </c>
      <c r="E128" s="26"/>
      <c r="F128" s="22">
        <v>30000</v>
      </c>
      <c r="G128" s="21">
        <f t="shared" si="1"/>
        <v>4191698.1399999913</v>
      </c>
    </row>
    <row r="129" spans="1:7">
      <c r="A129" s="17" t="s">
        <v>215</v>
      </c>
      <c r="B129" s="23" t="s">
        <v>216</v>
      </c>
      <c r="C129" s="24"/>
      <c r="D129" s="25" t="s">
        <v>22</v>
      </c>
      <c r="E129" s="26"/>
      <c r="F129" s="22">
        <v>40000</v>
      </c>
      <c r="G129" s="21">
        <f t="shared" si="1"/>
        <v>4151698.1399999913</v>
      </c>
    </row>
    <row r="130" spans="1:7">
      <c r="A130" s="17" t="s">
        <v>143</v>
      </c>
      <c r="B130" s="23" t="s">
        <v>217</v>
      </c>
      <c r="C130" s="24"/>
      <c r="D130" s="25" t="s">
        <v>22</v>
      </c>
      <c r="E130" s="26"/>
      <c r="F130" s="22">
        <v>18000</v>
      </c>
      <c r="G130" s="21">
        <f t="shared" si="1"/>
        <v>4133698.1399999913</v>
      </c>
    </row>
    <row r="131" spans="1:7">
      <c r="A131" s="17" t="s">
        <v>143</v>
      </c>
      <c r="B131" s="23" t="s">
        <v>218</v>
      </c>
      <c r="C131" s="24"/>
      <c r="D131" s="25" t="s">
        <v>22</v>
      </c>
      <c r="E131" s="26"/>
      <c r="F131" s="22">
        <v>80000</v>
      </c>
      <c r="G131" s="21">
        <f t="shared" si="1"/>
        <v>4053698.1399999913</v>
      </c>
    </row>
    <row r="132" spans="1:7">
      <c r="A132" s="17" t="s">
        <v>143</v>
      </c>
      <c r="B132" s="23" t="s">
        <v>144</v>
      </c>
      <c r="C132" s="24" t="s">
        <v>145</v>
      </c>
      <c r="D132" s="25" t="s">
        <v>146</v>
      </c>
      <c r="E132" s="26">
        <v>468307.4</v>
      </c>
      <c r="F132" s="22"/>
      <c r="G132" s="21">
        <f t="shared" si="1"/>
        <v>4522005.5399999917</v>
      </c>
    </row>
    <row r="133" spans="1:7">
      <c r="A133" s="17" t="s">
        <v>219</v>
      </c>
      <c r="B133" s="23" t="s">
        <v>220</v>
      </c>
      <c r="C133" s="24"/>
      <c r="D133" s="25" t="s">
        <v>22</v>
      </c>
      <c r="E133" s="26"/>
      <c r="F133" s="22">
        <v>30000</v>
      </c>
      <c r="G133" s="21">
        <f t="shared" si="1"/>
        <v>4492005.5399999917</v>
      </c>
    </row>
    <row r="134" spans="1:7">
      <c r="A134" s="27" t="s">
        <v>221</v>
      </c>
      <c r="B134" s="55" t="s">
        <v>437</v>
      </c>
      <c r="C134" s="34"/>
      <c r="D134" s="25" t="s">
        <v>22</v>
      </c>
      <c r="E134" s="56"/>
      <c r="F134" s="32">
        <v>9000</v>
      </c>
      <c r="G134" s="21">
        <f t="shared" si="1"/>
        <v>4483005.5399999917</v>
      </c>
    </row>
    <row r="135" spans="1:7">
      <c r="A135" s="27" t="s">
        <v>221</v>
      </c>
      <c r="B135" s="28">
        <v>1390</v>
      </c>
      <c r="C135" s="29"/>
      <c r="D135" s="25" t="s">
        <v>22</v>
      </c>
      <c r="E135" s="31"/>
      <c r="F135" s="32">
        <v>30000</v>
      </c>
      <c r="G135" s="21">
        <f t="shared" si="1"/>
        <v>4453005.5399999917</v>
      </c>
    </row>
    <row r="136" spans="1:7">
      <c r="A136" s="27" t="s">
        <v>222</v>
      </c>
      <c r="B136" s="28">
        <v>1393</v>
      </c>
      <c r="C136" s="29"/>
      <c r="D136" s="25" t="s">
        <v>22</v>
      </c>
      <c r="E136" s="31"/>
      <c r="F136" s="32">
        <v>59000</v>
      </c>
      <c r="G136" s="21">
        <f t="shared" si="1"/>
        <v>4394005.5399999917</v>
      </c>
    </row>
    <row r="137" spans="1:7">
      <c r="A137" s="27" t="s">
        <v>223</v>
      </c>
      <c r="B137" s="28">
        <v>1395</v>
      </c>
      <c r="C137" s="29"/>
      <c r="D137" s="25" t="s">
        <v>22</v>
      </c>
      <c r="E137" s="31"/>
      <c r="F137" s="32">
        <v>25000</v>
      </c>
      <c r="G137" s="21">
        <f t="shared" si="1"/>
        <v>4369005.5399999917</v>
      </c>
    </row>
    <row r="138" spans="1:7">
      <c r="A138" s="33" t="s">
        <v>224</v>
      </c>
      <c r="B138" s="28">
        <v>1400</v>
      </c>
      <c r="C138" s="29"/>
      <c r="D138" s="25" t="s">
        <v>22</v>
      </c>
      <c r="E138" s="31"/>
      <c r="F138" s="32">
        <v>20000</v>
      </c>
      <c r="G138" s="21">
        <f t="shared" si="1"/>
        <v>4349005.5399999917</v>
      </c>
    </row>
    <row r="139" spans="1:7">
      <c r="A139" s="17" t="s">
        <v>147</v>
      </c>
      <c r="B139" s="18" t="s">
        <v>438</v>
      </c>
      <c r="C139" s="19"/>
      <c r="D139" s="20" t="s">
        <v>22</v>
      </c>
      <c r="E139" s="21"/>
      <c r="F139" s="22">
        <v>55000</v>
      </c>
      <c r="G139" s="21">
        <f t="shared" ref="G139:G153" si="2">G138+E139-F139</f>
        <v>4294005.5399999917</v>
      </c>
    </row>
    <row r="140" spans="1:7">
      <c r="A140" s="17" t="s">
        <v>148</v>
      </c>
      <c r="B140" s="18" t="s">
        <v>440</v>
      </c>
      <c r="C140" s="19"/>
      <c r="D140" s="20" t="s">
        <v>22</v>
      </c>
      <c r="E140" s="21"/>
      <c r="F140" s="22">
        <v>20000</v>
      </c>
      <c r="G140" s="21">
        <f t="shared" si="2"/>
        <v>4274005.5399999917</v>
      </c>
    </row>
    <row r="141" spans="1:7">
      <c r="A141" s="17" t="s">
        <v>149</v>
      </c>
      <c r="B141" s="18" t="s">
        <v>441</v>
      </c>
      <c r="C141" s="19"/>
      <c r="D141" s="20" t="s">
        <v>22</v>
      </c>
      <c r="E141" s="21"/>
      <c r="F141" s="22">
        <v>65000</v>
      </c>
      <c r="G141" s="21">
        <f t="shared" si="2"/>
        <v>4209005.5399999917</v>
      </c>
    </row>
    <row r="142" spans="1:7">
      <c r="A142" s="17" t="s">
        <v>150</v>
      </c>
      <c r="B142" s="18" t="s">
        <v>439</v>
      </c>
      <c r="C142" s="19"/>
      <c r="D142" s="20" t="s">
        <v>22</v>
      </c>
      <c r="E142" s="21"/>
      <c r="F142" s="22">
        <v>20000</v>
      </c>
      <c r="G142" s="21">
        <f t="shared" si="2"/>
        <v>4189005.5399999917</v>
      </c>
    </row>
    <row r="143" spans="1:7">
      <c r="A143" s="17" t="s">
        <v>151</v>
      </c>
      <c r="B143" s="18" t="s">
        <v>152</v>
      </c>
      <c r="C143" s="19" t="s">
        <v>153</v>
      </c>
      <c r="D143" s="20" t="s">
        <v>93</v>
      </c>
      <c r="E143" s="21">
        <v>424548</v>
      </c>
      <c r="F143" s="22"/>
      <c r="G143" s="21">
        <f t="shared" si="2"/>
        <v>4613553.5399999917</v>
      </c>
    </row>
    <row r="144" spans="1:7">
      <c r="A144" s="17" t="s">
        <v>151</v>
      </c>
      <c r="B144" s="23" t="s">
        <v>442</v>
      </c>
      <c r="C144" s="24"/>
      <c r="D144" s="25" t="s">
        <v>22</v>
      </c>
      <c r="E144" s="26"/>
      <c r="F144" s="22">
        <v>39000</v>
      </c>
      <c r="G144" s="21">
        <f t="shared" si="2"/>
        <v>4574553.5399999917</v>
      </c>
    </row>
    <row r="145" spans="1:7">
      <c r="A145" s="27" t="s">
        <v>154</v>
      </c>
      <c r="B145" s="28">
        <v>1419</v>
      </c>
      <c r="C145" s="29"/>
      <c r="D145" s="25" t="s">
        <v>22</v>
      </c>
      <c r="E145" s="31"/>
      <c r="F145" s="32">
        <v>70000</v>
      </c>
      <c r="G145" s="21">
        <f t="shared" si="2"/>
        <v>4504553.5399999917</v>
      </c>
    </row>
    <row r="146" spans="1:7">
      <c r="A146" s="27" t="s">
        <v>155</v>
      </c>
      <c r="B146" s="28">
        <v>1404</v>
      </c>
      <c r="C146" s="29"/>
      <c r="D146" s="25" t="s">
        <v>22</v>
      </c>
      <c r="E146" s="31"/>
      <c r="F146" s="32">
        <v>20000</v>
      </c>
      <c r="G146" s="21">
        <f t="shared" si="2"/>
        <v>4484553.5399999917</v>
      </c>
    </row>
    <row r="147" spans="1:7">
      <c r="A147" s="33" t="s">
        <v>156</v>
      </c>
      <c r="B147" s="28">
        <v>1408</v>
      </c>
      <c r="C147" s="29"/>
      <c r="D147" s="25" t="s">
        <v>22</v>
      </c>
      <c r="E147" s="31"/>
      <c r="F147" s="32">
        <v>10000</v>
      </c>
      <c r="G147" s="21">
        <f t="shared" si="2"/>
        <v>4474553.5399999917</v>
      </c>
    </row>
    <row r="148" spans="1:7">
      <c r="A148" s="27" t="s">
        <v>157</v>
      </c>
      <c r="B148" s="28">
        <v>1407</v>
      </c>
      <c r="C148" s="29"/>
      <c r="D148" s="25" t="s">
        <v>22</v>
      </c>
      <c r="E148" s="31"/>
      <c r="F148" s="32">
        <v>18000</v>
      </c>
      <c r="G148" s="21">
        <f t="shared" si="2"/>
        <v>4456553.5399999917</v>
      </c>
    </row>
    <row r="149" spans="1:7">
      <c r="A149" s="27" t="s">
        <v>159</v>
      </c>
      <c r="B149" s="28" t="s">
        <v>160</v>
      </c>
      <c r="C149" s="29"/>
      <c r="D149" s="30" t="s">
        <v>161</v>
      </c>
      <c r="E149" s="31">
        <v>8337</v>
      </c>
      <c r="F149" s="32"/>
      <c r="G149" s="21">
        <f t="shared" si="2"/>
        <v>4464890.5399999917</v>
      </c>
    </row>
    <row r="150" spans="1:7">
      <c r="A150" s="27" t="s">
        <v>162</v>
      </c>
      <c r="B150" s="28">
        <v>1415</v>
      </c>
      <c r="C150" s="29"/>
      <c r="D150" s="25" t="s">
        <v>22</v>
      </c>
      <c r="E150" s="31"/>
      <c r="F150" s="32">
        <v>80000</v>
      </c>
      <c r="G150" s="21">
        <f t="shared" si="2"/>
        <v>4384890.5399999917</v>
      </c>
    </row>
    <row r="151" spans="1:7">
      <c r="A151" s="27" t="s">
        <v>133</v>
      </c>
      <c r="B151" s="28">
        <v>1425</v>
      </c>
      <c r="C151" s="29"/>
      <c r="D151" s="25" t="s">
        <v>22</v>
      </c>
      <c r="E151" s="31"/>
      <c r="F151" s="32">
        <v>20000</v>
      </c>
      <c r="G151" s="21">
        <f t="shared" si="2"/>
        <v>4364890.5399999917</v>
      </c>
    </row>
    <row r="152" spans="1:7">
      <c r="A152" s="27" t="s">
        <v>133</v>
      </c>
      <c r="B152" s="28">
        <v>1426</v>
      </c>
      <c r="C152" s="29"/>
      <c r="D152" s="25" t="s">
        <v>22</v>
      </c>
      <c r="E152" s="31"/>
      <c r="F152" s="32">
        <v>9360</v>
      </c>
      <c r="G152" s="21">
        <f t="shared" si="2"/>
        <v>4355530.5399999917</v>
      </c>
    </row>
    <row r="153" spans="1:7">
      <c r="A153" s="27"/>
      <c r="B153" s="28"/>
      <c r="C153" s="29"/>
      <c r="D153" s="25"/>
      <c r="E153" s="31"/>
      <c r="F153" s="32"/>
      <c r="G153" s="21">
        <f t="shared" si="2"/>
        <v>4355530.5399999917</v>
      </c>
    </row>
    <row r="154" spans="1:7">
      <c r="A154" s="27"/>
      <c r="B154" s="28"/>
      <c r="C154" s="29"/>
      <c r="D154" s="25"/>
      <c r="E154" s="31"/>
      <c r="F154" s="32"/>
      <c r="G154" s="21"/>
    </row>
    <row r="155" spans="1:7">
      <c r="A155" s="36" t="s">
        <v>163</v>
      </c>
      <c r="B155" s="37"/>
      <c r="C155" s="37"/>
      <c r="D155" s="37"/>
      <c r="E155" s="38">
        <f>SUM(E9:E154)</f>
        <v>9152361.2699999921</v>
      </c>
      <c r="F155" s="3"/>
      <c r="G155" s="3"/>
    </row>
    <row r="156" spans="1:7">
      <c r="A156" s="39" t="s">
        <v>164</v>
      </c>
      <c r="B156" s="3"/>
      <c r="C156" s="3"/>
      <c r="D156" s="3"/>
      <c r="E156" s="3"/>
      <c r="F156" s="38">
        <f>SUM(F9:F154)</f>
        <v>4796830.7300000004</v>
      </c>
      <c r="G156" s="3"/>
    </row>
    <row r="157" spans="1:7">
      <c r="A157" s="39" t="s">
        <v>165</v>
      </c>
      <c r="B157" s="3"/>
      <c r="C157" s="3"/>
      <c r="D157" s="3"/>
      <c r="E157" s="3"/>
      <c r="F157" s="40"/>
      <c r="G157" s="41">
        <f>E155-F156</f>
        <v>4355530.5399999917</v>
      </c>
    </row>
    <row r="158" spans="1:7">
      <c r="A158" s="42" t="s">
        <v>166</v>
      </c>
      <c r="B158" s="3"/>
      <c r="C158" s="3"/>
      <c r="D158" s="3"/>
      <c r="E158" s="3"/>
      <c r="F158" s="40"/>
      <c r="G158" s="43">
        <f>G157-G159</f>
        <v>3237427.7099999916</v>
      </c>
    </row>
    <row r="159" spans="1:7">
      <c r="A159" s="44" t="s">
        <v>167</v>
      </c>
      <c r="B159" s="45"/>
      <c r="C159" s="45"/>
      <c r="D159" s="45"/>
      <c r="E159" s="46"/>
      <c r="F159" s="46"/>
      <c r="G159" s="47">
        <f>SUM(E10:E38)</f>
        <v>1118102.83</v>
      </c>
    </row>
    <row r="160" spans="1:7" ht="15.75" thickBot="1">
      <c r="A160" s="48"/>
      <c r="B160" s="49"/>
      <c r="C160" s="50"/>
      <c r="D160" s="48"/>
      <c r="E160" s="51"/>
      <c r="F160" s="52"/>
      <c r="G160" s="52"/>
    </row>
    <row r="163" spans="1:6">
      <c r="A163" s="58" t="s">
        <v>342</v>
      </c>
      <c r="E163" s="58" t="s">
        <v>343</v>
      </c>
    </row>
    <row r="164" spans="1:6">
      <c r="B164" s="68" t="s">
        <v>344</v>
      </c>
      <c r="C164" s="68"/>
      <c r="F164" s="59" t="s">
        <v>345</v>
      </c>
    </row>
    <row r="165" spans="1:6">
      <c r="B165" s="63" t="s">
        <v>346</v>
      </c>
      <c r="C165" s="63"/>
      <c r="F165" s="60" t="s">
        <v>347</v>
      </c>
    </row>
    <row r="169" spans="1:6">
      <c r="C169" t="s">
        <v>348</v>
      </c>
    </row>
    <row r="170" spans="1:6">
      <c r="D170" s="59" t="s">
        <v>349</v>
      </c>
    </row>
    <row r="171" spans="1:6">
      <c r="D171" s="60" t="s">
        <v>350</v>
      </c>
    </row>
  </sheetData>
  <mergeCells count="6">
    <mergeCell ref="B165:C165"/>
    <mergeCell ref="A1:B1"/>
    <mergeCell ref="F6:G6"/>
    <mergeCell ref="B7:C7"/>
    <mergeCell ref="F7:G7"/>
    <mergeCell ref="B164:C164"/>
  </mergeCells>
  <hyperlinks>
    <hyperlink ref="F4" r:id="rId1" xr:uid="{EF227447-88A2-4A76-A470-0762F979F79C}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4E9C-3D57-4E07-8C6B-16EF322A0873}">
  <dimension ref="A1:G145"/>
  <sheetViews>
    <sheetView tabSelected="1" topLeftCell="A49" zoomScaleNormal="100" workbookViewId="0">
      <selection activeCell="A27" sqref="A12:XFD27"/>
    </sheetView>
  </sheetViews>
  <sheetFormatPr defaultRowHeight="15"/>
  <cols>
    <col min="1" max="1" width="26.140625" style="62" customWidth="1"/>
    <col min="2" max="2" width="14.5703125" style="62" customWidth="1"/>
    <col min="3" max="3" width="12.85546875" style="62" customWidth="1"/>
    <col min="4" max="4" width="22.42578125" style="62" customWidth="1"/>
    <col min="5" max="6" width="22.85546875" style="62" customWidth="1"/>
    <col min="7" max="7" width="28.42578125" style="62" customWidth="1"/>
  </cols>
  <sheetData>
    <row r="1" spans="1:7" ht="62.25" customHeight="1">
      <c r="A1" s="69"/>
      <c r="B1" s="70"/>
      <c r="C1" s="72" t="s">
        <v>7</v>
      </c>
      <c r="D1" s="72"/>
      <c r="E1" s="72"/>
      <c r="F1" s="3"/>
      <c r="G1" s="3"/>
    </row>
    <row r="2" spans="1:7">
      <c r="A2" s="4" t="s">
        <v>0</v>
      </c>
      <c r="B2" s="3" t="s">
        <v>1</v>
      </c>
      <c r="C2" s="3"/>
      <c r="D2" s="3"/>
      <c r="E2" s="5" t="s">
        <v>2</v>
      </c>
      <c r="F2" s="6" t="s">
        <v>168</v>
      </c>
      <c r="G2" s="3"/>
    </row>
    <row r="3" spans="1:7">
      <c r="A3" s="4" t="s">
        <v>4</v>
      </c>
      <c r="B3" s="3"/>
      <c r="C3" s="3"/>
      <c r="D3" s="3"/>
      <c r="E3" s="5" t="s">
        <v>5</v>
      </c>
      <c r="F3" s="61" t="s">
        <v>6</v>
      </c>
      <c r="G3" s="3"/>
    </row>
    <row r="4" spans="1:7">
      <c r="A4" s="4"/>
      <c r="B4" s="3"/>
      <c r="C4" s="3"/>
      <c r="D4" s="3"/>
      <c r="E4" s="5"/>
      <c r="F4" s="61"/>
      <c r="G4" s="3"/>
    </row>
    <row r="5" spans="1:7">
      <c r="A5" s="4"/>
      <c r="B5" s="3"/>
      <c r="C5" s="3"/>
      <c r="D5" s="3"/>
      <c r="E5" s="5"/>
      <c r="F5" s="61"/>
      <c r="G5" s="3"/>
    </row>
    <row r="6" spans="1:7">
      <c r="A6" s="3"/>
      <c r="B6" s="3"/>
      <c r="C6" s="3"/>
      <c r="D6" s="3"/>
      <c r="E6" s="10" t="s">
        <v>8</v>
      </c>
      <c r="F6" s="66" t="s">
        <v>9</v>
      </c>
      <c r="G6" s="66"/>
    </row>
    <row r="7" spans="1:7">
      <c r="A7" s="10" t="s">
        <v>169</v>
      </c>
      <c r="B7" s="71"/>
      <c r="C7" s="71"/>
      <c r="D7" s="11"/>
      <c r="E7" s="3"/>
      <c r="F7" s="66" t="s">
        <v>10</v>
      </c>
      <c r="G7" s="66"/>
    </row>
    <row r="8" spans="1:7">
      <c r="A8" s="3"/>
      <c r="B8" s="71"/>
      <c r="C8" s="71"/>
      <c r="D8" s="53"/>
      <c r="E8" s="3"/>
      <c r="F8" s="66"/>
      <c r="G8" s="66"/>
    </row>
    <row r="9" spans="1:7">
      <c r="A9" s="54"/>
      <c r="B9" s="9"/>
      <c r="C9" s="9"/>
      <c r="D9" s="9"/>
      <c r="E9" s="3"/>
      <c r="F9" s="66"/>
      <c r="G9" s="66"/>
    </row>
    <row r="10" spans="1:7">
      <c r="A10" s="12" t="s">
        <v>11</v>
      </c>
      <c r="B10" s="13" t="s">
        <v>12</v>
      </c>
      <c r="C10" s="13" t="s">
        <v>13</v>
      </c>
      <c r="D10" s="14" t="s">
        <v>14</v>
      </c>
      <c r="E10" s="15" t="s">
        <v>15</v>
      </c>
      <c r="F10" s="16" t="s">
        <v>16</v>
      </c>
      <c r="G10" s="16" t="s">
        <v>17</v>
      </c>
    </row>
    <row r="11" spans="1:7">
      <c r="A11" s="17"/>
      <c r="B11" s="18"/>
      <c r="C11" s="19"/>
      <c r="D11" s="20"/>
      <c r="E11" s="21">
        <f>'YEAR 2024'!G157</f>
        <v>4355530.5399999917</v>
      </c>
      <c r="F11" s="22"/>
      <c r="G11" s="21">
        <f>'YEAR 2024'!G157</f>
        <v>4355530.5399999917</v>
      </c>
    </row>
    <row r="12" spans="1:7">
      <c r="A12" s="17" t="s">
        <v>179</v>
      </c>
      <c r="B12" s="23"/>
      <c r="C12" s="24"/>
      <c r="D12" s="25" t="s">
        <v>22</v>
      </c>
      <c r="E12" s="26"/>
      <c r="F12" s="22">
        <v>80000</v>
      </c>
      <c r="G12" s="21">
        <f>G11+E12-F12</f>
        <v>4275530.5399999917</v>
      </c>
    </row>
    <row r="13" spans="1:7">
      <c r="A13" s="17" t="s">
        <v>180</v>
      </c>
      <c r="B13" s="23"/>
      <c r="C13" s="24"/>
      <c r="D13" s="25" t="s">
        <v>22</v>
      </c>
      <c r="E13" s="26"/>
      <c r="F13" s="22">
        <v>80000</v>
      </c>
      <c r="G13" s="21">
        <f t="shared" ref="G13:G76" si="0">G12+E13-F13</f>
        <v>4195530.5399999917</v>
      </c>
    </row>
    <row r="14" spans="1:7">
      <c r="A14" s="17" t="s">
        <v>181</v>
      </c>
      <c r="B14" s="23"/>
      <c r="C14" s="24"/>
      <c r="D14" s="25" t="s">
        <v>22</v>
      </c>
      <c r="E14" s="26"/>
      <c r="F14" s="22">
        <v>30000</v>
      </c>
      <c r="G14" s="21">
        <f t="shared" si="0"/>
        <v>4165530.5399999917</v>
      </c>
    </row>
    <row r="15" spans="1:7">
      <c r="A15" s="17" t="s">
        <v>182</v>
      </c>
      <c r="B15" s="23"/>
      <c r="C15" s="24"/>
      <c r="D15" s="25" t="s">
        <v>22</v>
      </c>
      <c r="E15" s="26"/>
      <c r="F15" s="22">
        <v>80000</v>
      </c>
      <c r="G15" s="21">
        <f t="shared" si="0"/>
        <v>4085530.5399999917</v>
      </c>
    </row>
    <row r="16" spans="1:7" ht="15.75" customHeight="1">
      <c r="A16" s="17" t="s">
        <v>183</v>
      </c>
      <c r="B16" s="23"/>
      <c r="C16" s="24"/>
      <c r="D16" s="25" t="s">
        <v>22</v>
      </c>
      <c r="E16" s="26"/>
      <c r="F16" s="22">
        <v>30000</v>
      </c>
      <c r="G16" s="21">
        <f t="shared" si="0"/>
        <v>4055530.5399999917</v>
      </c>
    </row>
    <row r="17" spans="1:7" ht="15.75" customHeight="1">
      <c r="A17" s="17" t="s">
        <v>183</v>
      </c>
      <c r="B17" s="23"/>
      <c r="C17" s="24"/>
      <c r="D17" s="25" t="s">
        <v>22</v>
      </c>
      <c r="E17" s="26"/>
      <c r="F17" s="22">
        <v>18000</v>
      </c>
      <c r="G17" s="21">
        <f t="shared" si="0"/>
        <v>4037530.5399999917</v>
      </c>
    </row>
    <row r="18" spans="1:7">
      <c r="A18" s="17" t="s">
        <v>170</v>
      </c>
      <c r="B18" s="23" t="s">
        <v>171</v>
      </c>
      <c r="C18" s="24" t="s">
        <v>175</v>
      </c>
      <c r="D18" s="25" t="s">
        <v>93</v>
      </c>
      <c r="E18" s="26">
        <v>101236.96</v>
      </c>
      <c r="F18" s="22"/>
      <c r="G18" s="21">
        <f t="shared" si="0"/>
        <v>4138767.4999999916</v>
      </c>
    </row>
    <row r="19" spans="1:7">
      <c r="A19" s="17" t="s">
        <v>170</v>
      </c>
      <c r="B19" s="23" t="s">
        <v>172</v>
      </c>
      <c r="C19" s="24" t="s">
        <v>175</v>
      </c>
      <c r="D19" s="25" t="s">
        <v>93</v>
      </c>
      <c r="E19" s="26">
        <v>91854.2</v>
      </c>
      <c r="F19" s="22"/>
      <c r="G19" s="21">
        <f t="shared" si="0"/>
        <v>4230621.6999999918</v>
      </c>
    </row>
    <row r="20" spans="1:7">
      <c r="A20" s="17" t="s">
        <v>170</v>
      </c>
      <c r="B20" s="23" t="s">
        <v>173</v>
      </c>
      <c r="C20" s="24" t="s">
        <v>175</v>
      </c>
      <c r="D20" s="25" t="s">
        <v>93</v>
      </c>
      <c r="E20" s="26">
        <v>85379.4</v>
      </c>
      <c r="F20" s="22"/>
      <c r="G20" s="21">
        <f t="shared" si="0"/>
        <v>4316001.0999999922</v>
      </c>
    </row>
    <row r="21" spans="1:7">
      <c r="A21" s="17" t="s">
        <v>170</v>
      </c>
      <c r="B21" s="23" t="s">
        <v>174</v>
      </c>
      <c r="C21" s="24" t="s">
        <v>175</v>
      </c>
      <c r="D21" s="25" t="s">
        <v>38</v>
      </c>
      <c r="E21" s="26">
        <v>142934.39999999999</v>
      </c>
      <c r="F21" s="22"/>
      <c r="G21" s="21">
        <f t="shared" si="0"/>
        <v>4458935.4999999925</v>
      </c>
    </row>
    <row r="22" spans="1:7">
      <c r="A22" s="17" t="s">
        <v>184</v>
      </c>
      <c r="B22" s="23"/>
      <c r="C22" s="24"/>
      <c r="D22" s="25" t="s">
        <v>22</v>
      </c>
      <c r="E22" s="26"/>
      <c r="F22" s="22">
        <v>80000</v>
      </c>
      <c r="G22" s="21">
        <f t="shared" si="0"/>
        <v>4378935.4999999925</v>
      </c>
    </row>
    <row r="23" spans="1:7">
      <c r="A23" s="17" t="s">
        <v>186</v>
      </c>
      <c r="B23" s="23"/>
      <c r="C23" s="24"/>
      <c r="D23" s="25" t="s">
        <v>22</v>
      </c>
      <c r="E23" s="26"/>
      <c r="F23" s="22">
        <v>30000</v>
      </c>
      <c r="G23" s="21">
        <f t="shared" si="0"/>
        <v>4348935.4999999925</v>
      </c>
    </row>
    <row r="24" spans="1:7">
      <c r="A24" s="17" t="s">
        <v>185</v>
      </c>
      <c r="B24" s="23"/>
      <c r="C24" s="24"/>
      <c r="D24" s="25" t="s">
        <v>22</v>
      </c>
      <c r="E24" s="26"/>
      <c r="F24" s="22">
        <v>80000</v>
      </c>
      <c r="G24" s="21">
        <f t="shared" si="0"/>
        <v>4268935.4999999925</v>
      </c>
    </row>
    <row r="25" spans="1:7">
      <c r="A25" s="17" t="s">
        <v>187</v>
      </c>
      <c r="B25" s="23"/>
      <c r="C25" s="24"/>
      <c r="D25" s="25" t="s">
        <v>22</v>
      </c>
      <c r="E25" s="26"/>
      <c r="F25" s="22">
        <v>25000</v>
      </c>
      <c r="G25" s="21">
        <f t="shared" si="0"/>
        <v>4243935.4999999925</v>
      </c>
    </row>
    <row r="26" spans="1:7">
      <c r="A26" s="17" t="s">
        <v>176</v>
      </c>
      <c r="B26" s="23" t="s">
        <v>177</v>
      </c>
      <c r="C26" s="24" t="s">
        <v>178</v>
      </c>
      <c r="D26" s="25" t="s">
        <v>93</v>
      </c>
      <c r="E26" s="26">
        <f>557002.4-6338.4</f>
        <v>550664</v>
      </c>
      <c r="F26" s="22"/>
      <c r="G26" s="21">
        <f t="shared" si="0"/>
        <v>4794599.4999999925</v>
      </c>
    </row>
    <row r="27" spans="1:7">
      <c r="A27" s="17" t="s">
        <v>176</v>
      </c>
      <c r="B27" s="23"/>
      <c r="C27" s="24"/>
      <c r="D27" s="25" t="s">
        <v>22</v>
      </c>
      <c r="E27" s="26"/>
      <c r="F27" s="22">
        <v>20000</v>
      </c>
      <c r="G27" s="21">
        <f t="shared" si="0"/>
        <v>4774599.4999999925</v>
      </c>
    </row>
    <row r="28" spans="1:7">
      <c r="A28" s="17" t="s">
        <v>225</v>
      </c>
      <c r="B28" s="23"/>
      <c r="C28" s="24"/>
      <c r="D28" s="25" t="s">
        <v>22</v>
      </c>
      <c r="E28" s="26"/>
      <c r="F28" s="22">
        <v>80000</v>
      </c>
      <c r="G28" s="21">
        <f t="shared" si="0"/>
        <v>4694599.4999999925</v>
      </c>
    </row>
    <row r="29" spans="1:7">
      <c r="A29" s="17" t="s">
        <v>226</v>
      </c>
      <c r="B29" s="23"/>
      <c r="C29" s="24"/>
      <c r="D29" s="25" t="s">
        <v>22</v>
      </c>
      <c r="E29" s="26"/>
      <c r="F29" s="22">
        <v>30000</v>
      </c>
      <c r="G29" s="21">
        <f t="shared" si="0"/>
        <v>4664599.4999999925</v>
      </c>
    </row>
    <row r="30" spans="1:7">
      <c r="A30" s="17" t="s">
        <v>227</v>
      </c>
      <c r="B30" s="23"/>
      <c r="C30" s="24"/>
      <c r="D30" s="25" t="s">
        <v>22</v>
      </c>
      <c r="E30" s="26"/>
      <c r="F30" s="22">
        <v>80000</v>
      </c>
      <c r="G30" s="21">
        <f t="shared" si="0"/>
        <v>4584599.4999999925</v>
      </c>
    </row>
    <row r="31" spans="1:7">
      <c r="A31" s="17" t="s">
        <v>228</v>
      </c>
      <c r="B31" s="23"/>
      <c r="C31" s="24"/>
      <c r="D31" s="25" t="s">
        <v>22</v>
      </c>
      <c r="E31" s="26"/>
      <c r="F31" s="22">
        <v>30000</v>
      </c>
      <c r="G31" s="21">
        <f t="shared" si="0"/>
        <v>4554599.4999999925</v>
      </c>
    </row>
    <row r="32" spans="1:7">
      <c r="A32" s="17" t="s">
        <v>229</v>
      </c>
      <c r="B32" s="23"/>
      <c r="C32" s="24"/>
      <c r="D32" s="25" t="s">
        <v>22</v>
      </c>
      <c r="E32" s="26"/>
      <c r="F32" s="22">
        <v>80000</v>
      </c>
      <c r="G32" s="21">
        <f t="shared" si="0"/>
        <v>4474599.4999999925</v>
      </c>
    </row>
    <row r="33" spans="1:7">
      <c r="A33" s="17" t="s">
        <v>230</v>
      </c>
      <c r="B33" s="23"/>
      <c r="C33" s="24"/>
      <c r="D33" s="25" t="s">
        <v>22</v>
      </c>
      <c r="E33" s="26"/>
      <c r="F33" s="22">
        <v>18000</v>
      </c>
      <c r="G33" s="21">
        <f t="shared" si="0"/>
        <v>4456599.4999999925</v>
      </c>
    </row>
    <row r="34" spans="1:7">
      <c r="A34" s="17" t="s">
        <v>231</v>
      </c>
      <c r="B34" s="23"/>
      <c r="C34" s="24"/>
      <c r="D34" s="25" t="s">
        <v>22</v>
      </c>
      <c r="E34" s="26"/>
      <c r="F34" s="22">
        <v>30000</v>
      </c>
      <c r="G34" s="21">
        <f t="shared" si="0"/>
        <v>4426599.4999999925</v>
      </c>
    </row>
    <row r="35" spans="1:7">
      <c r="A35" s="17" t="s">
        <v>232</v>
      </c>
      <c r="B35" s="23"/>
      <c r="C35" s="24"/>
      <c r="D35" s="25" t="s">
        <v>22</v>
      </c>
      <c r="E35" s="26"/>
      <c r="F35" s="22">
        <v>80000</v>
      </c>
      <c r="G35" s="21">
        <f t="shared" si="0"/>
        <v>4346599.4999999925</v>
      </c>
    </row>
    <row r="36" spans="1:7">
      <c r="A36" s="17" t="s">
        <v>233</v>
      </c>
      <c r="B36" s="23"/>
      <c r="C36" s="24"/>
      <c r="D36" s="25" t="s">
        <v>22</v>
      </c>
      <c r="E36" s="26"/>
      <c r="F36" s="22">
        <v>30000</v>
      </c>
      <c r="G36" s="21">
        <f t="shared" si="0"/>
        <v>4316599.4999999925</v>
      </c>
    </row>
    <row r="37" spans="1:7">
      <c r="A37" s="27" t="s">
        <v>233</v>
      </c>
      <c r="B37" s="28" t="s">
        <v>244</v>
      </c>
      <c r="C37" s="29" t="s">
        <v>245</v>
      </c>
      <c r="D37" s="30" t="s">
        <v>93</v>
      </c>
      <c r="E37" s="31">
        <v>74718.399999999994</v>
      </c>
      <c r="F37" s="32"/>
      <c r="G37" s="21">
        <f t="shared" si="0"/>
        <v>4391317.8999999929</v>
      </c>
    </row>
    <row r="38" spans="1:7">
      <c r="A38" s="27" t="s">
        <v>233</v>
      </c>
      <c r="B38" s="28" t="s">
        <v>246</v>
      </c>
      <c r="C38" s="29" t="s">
        <v>245</v>
      </c>
      <c r="D38" s="30" t="s">
        <v>93</v>
      </c>
      <c r="E38" s="31">
        <v>243104.5</v>
      </c>
      <c r="F38" s="32"/>
      <c r="G38" s="21">
        <f t="shared" si="0"/>
        <v>4634422.3999999929</v>
      </c>
    </row>
    <row r="39" spans="1:7">
      <c r="A39" s="17" t="s">
        <v>234</v>
      </c>
      <c r="B39" s="23"/>
      <c r="C39" s="24"/>
      <c r="D39" s="25" t="s">
        <v>22</v>
      </c>
      <c r="E39" s="26"/>
      <c r="F39" s="22">
        <v>80000</v>
      </c>
      <c r="G39" s="21">
        <f t="shared" si="0"/>
        <v>4554422.3999999929</v>
      </c>
    </row>
    <row r="40" spans="1:7">
      <c r="A40" s="17" t="s">
        <v>235</v>
      </c>
      <c r="B40" s="23"/>
      <c r="C40" s="24"/>
      <c r="D40" s="25" t="s">
        <v>22</v>
      </c>
      <c r="E40" s="26"/>
      <c r="F40" s="22">
        <v>14000</v>
      </c>
      <c r="G40" s="21">
        <f t="shared" si="0"/>
        <v>4540422.3999999929</v>
      </c>
    </row>
    <row r="41" spans="1:7">
      <c r="A41" s="17" t="s">
        <v>243</v>
      </c>
      <c r="B41" s="23"/>
      <c r="C41" s="24"/>
      <c r="D41" s="25" t="s">
        <v>22</v>
      </c>
      <c r="E41" s="26"/>
      <c r="F41" s="22">
        <v>30000</v>
      </c>
      <c r="G41" s="21">
        <f t="shared" si="0"/>
        <v>4510422.3999999929</v>
      </c>
    </row>
    <row r="42" spans="1:7">
      <c r="A42" s="17" t="s">
        <v>236</v>
      </c>
      <c r="B42" s="23"/>
      <c r="C42" s="24"/>
      <c r="D42" s="25" t="s">
        <v>22</v>
      </c>
      <c r="E42" s="26"/>
      <c r="F42" s="22">
        <v>80000</v>
      </c>
      <c r="G42" s="21">
        <f t="shared" si="0"/>
        <v>4430422.3999999929</v>
      </c>
    </row>
    <row r="43" spans="1:7">
      <c r="A43" s="17" t="s">
        <v>237</v>
      </c>
      <c r="B43" s="23"/>
      <c r="C43" s="24"/>
      <c r="D43" s="25" t="s">
        <v>22</v>
      </c>
      <c r="E43" s="26"/>
      <c r="F43" s="22">
        <v>30000</v>
      </c>
      <c r="G43" s="21">
        <f t="shared" si="0"/>
        <v>4400422.3999999929</v>
      </c>
    </row>
    <row r="44" spans="1:7">
      <c r="A44" s="17" t="s">
        <v>238</v>
      </c>
      <c r="B44" s="23" t="s">
        <v>158</v>
      </c>
      <c r="C44" s="24"/>
      <c r="D44" s="25" t="s">
        <v>22</v>
      </c>
      <c r="E44" s="26"/>
      <c r="F44" s="22">
        <v>10000</v>
      </c>
      <c r="G44" s="21">
        <f t="shared" si="0"/>
        <v>4390422.3999999929</v>
      </c>
    </row>
    <row r="45" spans="1:7">
      <c r="A45" s="17" t="s">
        <v>238</v>
      </c>
      <c r="B45" s="23"/>
      <c r="C45" s="24"/>
      <c r="D45" s="25" t="s">
        <v>22</v>
      </c>
      <c r="E45" s="26"/>
      <c r="F45" s="22">
        <v>80000</v>
      </c>
      <c r="G45" s="21">
        <f t="shared" si="0"/>
        <v>4310422.3999999929</v>
      </c>
    </row>
    <row r="46" spans="1:7">
      <c r="A46" s="17" t="s">
        <v>238</v>
      </c>
      <c r="B46" s="23" t="s">
        <v>158</v>
      </c>
      <c r="C46" s="24"/>
      <c r="D46" s="25" t="s">
        <v>22</v>
      </c>
      <c r="E46" s="26"/>
      <c r="F46" s="22">
        <v>18000</v>
      </c>
      <c r="G46" s="21">
        <f t="shared" si="0"/>
        <v>4292422.3999999929</v>
      </c>
    </row>
    <row r="47" spans="1:7">
      <c r="A47" s="17" t="s">
        <v>239</v>
      </c>
      <c r="B47" s="23"/>
      <c r="C47" s="24"/>
      <c r="D47" s="25" t="s">
        <v>22</v>
      </c>
      <c r="E47" s="26"/>
      <c r="F47" s="22">
        <v>30000</v>
      </c>
      <c r="G47" s="21">
        <f t="shared" si="0"/>
        <v>4262422.3999999929</v>
      </c>
    </row>
    <row r="48" spans="1:7">
      <c r="A48" s="17" t="s">
        <v>240</v>
      </c>
      <c r="B48" s="23"/>
      <c r="C48" s="24"/>
      <c r="D48" s="25" t="s">
        <v>22</v>
      </c>
      <c r="E48" s="26"/>
      <c r="F48" s="22">
        <v>80000</v>
      </c>
      <c r="G48" s="21">
        <f t="shared" si="0"/>
        <v>4182422.3999999929</v>
      </c>
    </row>
    <row r="49" spans="1:7">
      <c r="A49" s="27" t="s">
        <v>241</v>
      </c>
      <c r="B49" s="28"/>
      <c r="C49" s="29"/>
      <c r="D49" s="25" t="s">
        <v>22</v>
      </c>
      <c r="E49" s="31"/>
      <c r="F49" s="32">
        <v>30000</v>
      </c>
      <c r="G49" s="21">
        <f t="shared" si="0"/>
        <v>4152422.3999999929</v>
      </c>
    </row>
    <row r="50" spans="1:7">
      <c r="A50" s="27" t="s">
        <v>242</v>
      </c>
      <c r="B50" s="28"/>
      <c r="C50" s="29"/>
      <c r="D50" s="25" t="s">
        <v>22</v>
      </c>
      <c r="E50" s="31"/>
      <c r="F50" s="32">
        <v>80000</v>
      </c>
      <c r="G50" s="21">
        <f t="shared" si="0"/>
        <v>4072422.3999999929</v>
      </c>
    </row>
    <row r="51" spans="1:7">
      <c r="A51" s="17" t="s">
        <v>258</v>
      </c>
      <c r="B51" s="23"/>
      <c r="C51" s="24"/>
      <c r="D51" s="25" t="s">
        <v>22</v>
      </c>
      <c r="E51" s="26"/>
      <c r="F51" s="22">
        <v>30000</v>
      </c>
      <c r="G51" s="21">
        <f t="shared" si="0"/>
        <v>4042422.3999999929</v>
      </c>
    </row>
    <row r="52" spans="1:7">
      <c r="A52" s="17" t="s">
        <v>247</v>
      </c>
      <c r="B52" s="23" t="s">
        <v>248</v>
      </c>
      <c r="C52" s="24" t="s">
        <v>249</v>
      </c>
      <c r="D52" s="25" t="s">
        <v>93</v>
      </c>
      <c r="E52" s="26">
        <v>52187.5</v>
      </c>
      <c r="F52" s="22"/>
      <c r="G52" s="21">
        <f t="shared" si="0"/>
        <v>4094609.8999999929</v>
      </c>
    </row>
    <row r="53" spans="1:7">
      <c r="A53" s="17" t="s">
        <v>247</v>
      </c>
      <c r="B53" s="23" t="s">
        <v>250</v>
      </c>
      <c r="C53" s="24" t="s">
        <v>249</v>
      </c>
      <c r="D53" s="25" t="s">
        <v>93</v>
      </c>
      <c r="E53" s="26">
        <v>34022.800000000003</v>
      </c>
      <c r="F53" s="22"/>
      <c r="G53" s="21">
        <f t="shared" si="0"/>
        <v>4128632.6999999927</v>
      </c>
    </row>
    <row r="54" spans="1:7">
      <c r="A54" s="17" t="s">
        <v>259</v>
      </c>
      <c r="B54" s="23"/>
      <c r="C54" s="24"/>
      <c r="D54" s="25" t="s">
        <v>22</v>
      </c>
      <c r="E54" s="26"/>
      <c r="F54" s="22">
        <v>80000</v>
      </c>
      <c r="G54" s="21">
        <f t="shared" si="0"/>
        <v>4048632.6999999927</v>
      </c>
    </row>
    <row r="55" spans="1:7">
      <c r="A55" s="17" t="s">
        <v>260</v>
      </c>
      <c r="B55" s="23"/>
      <c r="C55" s="24"/>
      <c r="D55" s="25" t="s">
        <v>22</v>
      </c>
      <c r="E55" s="26"/>
      <c r="F55" s="22">
        <v>30000</v>
      </c>
      <c r="G55" s="21">
        <f t="shared" si="0"/>
        <v>4018632.6999999927</v>
      </c>
    </row>
    <row r="56" spans="1:7">
      <c r="A56" s="17" t="s">
        <v>251</v>
      </c>
      <c r="B56" s="23" t="s">
        <v>252</v>
      </c>
      <c r="C56" s="24" t="s">
        <v>253</v>
      </c>
      <c r="D56" s="25" t="s">
        <v>93</v>
      </c>
      <c r="E56" s="26">
        <f>95655.6-1044-24192-10224</f>
        <v>60195.600000000006</v>
      </c>
      <c r="F56" s="22"/>
      <c r="G56" s="21">
        <f t="shared" si="0"/>
        <v>4078828.2999999928</v>
      </c>
    </row>
    <row r="57" spans="1:7">
      <c r="A57" s="17" t="s">
        <v>251</v>
      </c>
      <c r="B57" s="23" t="s">
        <v>254</v>
      </c>
      <c r="C57" s="24" t="s">
        <v>253</v>
      </c>
      <c r="D57" s="25" t="s">
        <v>93</v>
      </c>
      <c r="E57" s="26">
        <f>21831-11232</f>
        <v>10599</v>
      </c>
      <c r="F57" s="22"/>
      <c r="G57" s="21">
        <f t="shared" si="0"/>
        <v>4089427.2999999928</v>
      </c>
    </row>
    <row r="58" spans="1:7">
      <c r="A58" s="17" t="s">
        <v>261</v>
      </c>
      <c r="B58" s="23"/>
      <c r="C58" s="24"/>
      <c r="D58" s="25" t="s">
        <v>22</v>
      </c>
      <c r="E58" s="26"/>
      <c r="F58" s="22">
        <v>30000</v>
      </c>
      <c r="G58" s="21">
        <f t="shared" si="0"/>
        <v>4059427.2999999928</v>
      </c>
    </row>
    <row r="59" spans="1:7">
      <c r="A59" s="17" t="s">
        <v>262</v>
      </c>
      <c r="B59" s="23"/>
      <c r="C59" s="24"/>
      <c r="D59" s="25" t="s">
        <v>22</v>
      </c>
      <c r="E59" s="26"/>
      <c r="F59" s="22">
        <v>50000</v>
      </c>
      <c r="G59" s="21">
        <f t="shared" si="0"/>
        <v>4009427.2999999928</v>
      </c>
    </row>
    <row r="60" spans="1:7">
      <c r="A60" s="17" t="s">
        <v>263</v>
      </c>
      <c r="B60" s="23" t="s">
        <v>158</v>
      </c>
      <c r="C60" s="24"/>
      <c r="D60" s="25" t="s">
        <v>22</v>
      </c>
      <c r="E60" s="26"/>
      <c r="F60" s="22">
        <v>18000</v>
      </c>
      <c r="G60" s="21">
        <f t="shared" si="0"/>
        <v>3991427.2999999928</v>
      </c>
    </row>
    <row r="61" spans="1:7">
      <c r="A61" s="17" t="s">
        <v>263</v>
      </c>
      <c r="B61" s="23"/>
      <c r="C61" s="24"/>
      <c r="D61" s="25" t="s">
        <v>22</v>
      </c>
      <c r="E61" s="26"/>
      <c r="F61" s="22">
        <v>30000</v>
      </c>
      <c r="G61" s="21">
        <f t="shared" si="0"/>
        <v>3961427.2999999928</v>
      </c>
    </row>
    <row r="62" spans="1:7">
      <c r="A62" s="17" t="s">
        <v>255</v>
      </c>
      <c r="B62" s="23" t="s">
        <v>256</v>
      </c>
      <c r="C62" s="24" t="s">
        <v>257</v>
      </c>
      <c r="D62" s="25" t="s">
        <v>93</v>
      </c>
      <c r="E62" s="26">
        <v>116854</v>
      </c>
      <c r="F62" s="22"/>
      <c r="G62" s="21">
        <f t="shared" si="0"/>
        <v>4078281.2999999928</v>
      </c>
    </row>
    <row r="63" spans="1:7">
      <c r="A63" s="17" t="s">
        <v>255</v>
      </c>
      <c r="B63" s="23"/>
      <c r="C63" s="24"/>
      <c r="D63" s="25" t="s">
        <v>22</v>
      </c>
      <c r="E63" s="26"/>
      <c r="F63" s="22">
        <v>80000</v>
      </c>
      <c r="G63" s="21">
        <f t="shared" si="0"/>
        <v>3998281.2999999928</v>
      </c>
    </row>
    <row r="64" spans="1:7">
      <c r="A64" s="17" t="s">
        <v>264</v>
      </c>
      <c r="B64" s="23"/>
      <c r="C64" s="24"/>
      <c r="D64" s="25" t="s">
        <v>22</v>
      </c>
      <c r="E64" s="26"/>
      <c r="F64" s="22">
        <v>25000</v>
      </c>
      <c r="G64" s="21">
        <f t="shared" si="0"/>
        <v>3973281.2999999928</v>
      </c>
    </row>
    <row r="65" spans="1:7">
      <c r="A65" s="17" t="s">
        <v>265</v>
      </c>
      <c r="B65" s="23"/>
      <c r="C65" s="24"/>
      <c r="D65" s="25" t="s">
        <v>22</v>
      </c>
      <c r="E65" s="26"/>
      <c r="F65" s="22">
        <v>60000</v>
      </c>
      <c r="G65" s="21">
        <f t="shared" si="0"/>
        <v>3913281.2999999928</v>
      </c>
    </row>
    <row r="66" spans="1:7">
      <c r="A66" s="17" t="s">
        <v>266</v>
      </c>
      <c r="B66" s="23"/>
      <c r="C66" s="24"/>
      <c r="D66" s="25" t="s">
        <v>22</v>
      </c>
      <c r="E66" s="26"/>
      <c r="F66" s="22">
        <v>20000</v>
      </c>
      <c r="G66" s="21">
        <f t="shared" si="0"/>
        <v>3893281.2999999928</v>
      </c>
    </row>
    <row r="67" spans="1:7">
      <c r="A67" s="17" t="s">
        <v>351</v>
      </c>
      <c r="B67" s="23"/>
      <c r="C67" s="24"/>
      <c r="D67" s="25" t="s">
        <v>22</v>
      </c>
      <c r="E67" s="26"/>
      <c r="F67" s="22">
        <v>50000</v>
      </c>
      <c r="G67" s="21">
        <f t="shared" si="0"/>
        <v>3843281.2999999928</v>
      </c>
    </row>
    <row r="68" spans="1:7">
      <c r="A68" s="17" t="s">
        <v>276</v>
      </c>
      <c r="B68" s="23"/>
      <c r="C68" s="24"/>
      <c r="D68" s="25" t="s">
        <v>22</v>
      </c>
      <c r="E68" s="26"/>
      <c r="F68" s="22">
        <v>65000</v>
      </c>
      <c r="G68" s="21">
        <f t="shared" si="0"/>
        <v>3778281.2999999928</v>
      </c>
    </row>
    <row r="69" spans="1:7">
      <c r="A69" s="17" t="s">
        <v>276</v>
      </c>
      <c r="B69" s="23"/>
      <c r="C69" s="24"/>
      <c r="D69" s="25" t="s">
        <v>22</v>
      </c>
      <c r="E69" s="26"/>
      <c r="F69" s="22">
        <v>20000</v>
      </c>
      <c r="G69" s="21">
        <f t="shared" si="0"/>
        <v>3758281.2999999928</v>
      </c>
    </row>
    <row r="70" spans="1:7">
      <c r="A70" s="17" t="s">
        <v>302</v>
      </c>
      <c r="B70" s="23"/>
      <c r="C70" s="24"/>
      <c r="D70" s="25" t="s">
        <v>22</v>
      </c>
      <c r="E70" s="26"/>
      <c r="F70" s="22">
        <v>13031.13</v>
      </c>
      <c r="G70" s="21">
        <f t="shared" si="0"/>
        <v>3745250.1699999929</v>
      </c>
    </row>
    <row r="71" spans="1:7" ht="17.25" customHeight="1">
      <c r="A71" s="17" t="s">
        <v>277</v>
      </c>
      <c r="B71" s="23"/>
      <c r="C71" s="24"/>
      <c r="D71" s="25" t="s">
        <v>22</v>
      </c>
      <c r="E71" s="26"/>
      <c r="F71" s="22">
        <v>50000</v>
      </c>
      <c r="G71" s="21">
        <f t="shared" si="0"/>
        <v>3695250.1699999929</v>
      </c>
    </row>
    <row r="72" spans="1:7" ht="14.25" customHeight="1">
      <c r="A72" s="17" t="s">
        <v>278</v>
      </c>
      <c r="B72" s="23"/>
      <c r="C72" s="24"/>
      <c r="D72" s="25" t="s">
        <v>22</v>
      </c>
      <c r="E72" s="26"/>
      <c r="F72" s="22">
        <v>30000</v>
      </c>
      <c r="G72" s="21">
        <f t="shared" si="0"/>
        <v>3665250.1699999929</v>
      </c>
    </row>
    <row r="73" spans="1:7" ht="14.25" customHeight="1">
      <c r="A73" s="17" t="s">
        <v>279</v>
      </c>
      <c r="B73" s="23"/>
      <c r="C73" s="24"/>
      <c r="D73" s="25" t="s">
        <v>22</v>
      </c>
      <c r="E73" s="26"/>
      <c r="F73" s="22">
        <v>18000</v>
      </c>
      <c r="G73" s="21">
        <f t="shared" si="0"/>
        <v>3647250.1699999929</v>
      </c>
    </row>
    <row r="74" spans="1:7">
      <c r="A74" s="17" t="s">
        <v>279</v>
      </c>
      <c r="B74" s="23"/>
      <c r="C74" s="24"/>
      <c r="D74" s="25" t="s">
        <v>22</v>
      </c>
      <c r="E74" s="26"/>
      <c r="F74" s="22">
        <v>30000</v>
      </c>
      <c r="G74" s="21">
        <f t="shared" si="0"/>
        <v>3617250.1699999929</v>
      </c>
    </row>
    <row r="75" spans="1:7">
      <c r="A75" s="17" t="s">
        <v>280</v>
      </c>
      <c r="B75" s="23"/>
      <c r="C75" s="24"/>
      <c r="D75" s="25" t="s">
        <v>22</v>
      </c>
      <c r="E75" s="26"/>
      <c r="F75" s="22">
        <v>40000</v>
      </c>
      <c r="G75" s="21">
        <f t="shared" si="0"/>
        <v>3577250.1699999929</v>
      </c>
    </row>
    <row r="76" spans="1:7">
      <c r="A76" s="17" t="s">
        <v>280</v>
      </c>
      <c r="B76" s="23"/>
      <c r="C76" s="24"/>
      <c r="D76" s="25" t="s">
        <v>22</v>
      </c>
      <c r="E76" s="26"/>
      <c r="F76" s="22">
        <v>30000</v>
      </c>
      <c r="G76" s="21">
        <f t="shared" si="0"/>
        <v>3547250.1699999929</v>
      </c>
    </row>
    <row r="77" spans="1:7">
      <c r="A77" s="17" t="s">
        <v>269</v>
      </c>
      <c r="B77" s="23" t="s">
        <v>270</v>
      </c>
      <c r="C77" s="24" t="s">
        <v>271</v>
      </c>
      <c r="D77" s="25" t="s">
        <v>272</v>
      </c>
      <c r="E77" s="26">
        <f>78800.8-5328-3480</f>
        <v>69992.800000000003</v>
      </c>
      <c r="F77" s="22"/>
      <c r="G77" s="21">
        <f t="shared" ref="G77:G136" si="1">G76+E77-F77</f>
        <v>3617242.9699999928</v>
      </c>
    </row>
    <row r="78" spans="1:7">
      <c r="A78" s="17" t="s">
        <v>281</v>
      </c>
      <c r="B78" s="23"/>
      <c r="C78" s="24"/>
      <c r="D78" s="25" t="s">
        <v>22</v>
      </c>
      <c r="E78" s="26"/>
      <c r="F78" s="22">
        <v>20000</v>
      </c>
      <c r="G78" s="21">
        <f t="shared" si="1"/>
        <v>3597242.9699999928</v>
      </c>
    </row>
    <row r="79" spans="1:7">
      <c r="A79" s="17" t="s">
        <v>282</v>
      </c>
      <c r="B79" s="23"/>
      <c r="C79" s="24"/>
      <c r="D79" s="25" t="s">
        <v>22</v>
      </c>
      <c r="E79" s="26"/>
      <c r="F79" s="22">
        <v>30000</v>
      </c>
      <c r="G79" s="21">
        <f t="shared" si="1"/>
        <v>3567242.9699999928</v>
      </c>
    </row>
    <row r="80" spans="1:7">
      <c r="A80" s="17" t="s">
        <v>283</v>
      </c>
      <c r="B80" s="23"/>
      <c r="C80" s="24"/>
      <c r="D80" s="25" t="s">
        <v>22</v>
      </c>
      <c r="E80" s="26"/>
      <c r="F80" s="22">
        <v>50000</v>
      </c>
      <c r="G80" s="21">
        <f t="shared" si="1"/>
        <v>3517242.9699999928</v>
      </c>
    </row>
    <row r="81" spans="1:7">
      <c r="A81" s="17" t="s">
        <v>283</v>
      </c>
      <c r="B81" s="23"/>
      <c r="C81" s="24"/>
      <c r="D81" s="25" t="s">
        <v>22</v>
      </c>
      <c r="E81" s="26"/>
      <c r="F81" s="22">
        <v>30000</v>
      </c>
      <c r="G81" s="21">
        <f t="shared" si="1"/>
        <v>3487242.9699999928</v>
      </c>
    </row>
    <row r="82" spans="1:7">
      <c r="A82" s="17" t="s">
        <v>284</v>
      </c>
      <c r="B82" s="23"/>
      <c r="C82" s="24"/>
      <c r="D82" s="25" t="s">
        <v>22</v>
      </c>
      <c r="E82" s="26"/>
      <c r="F82" s="22">
        <v>30000</v>
      </c>
      <c r="G82" s="21">
        <f t="shared" si="1"/>
        <v>3457242.9699999928</v>
      </c>
    </row>
    <row r="83" spans="1:7">
      <c r="A83" s="17" t="s">
        <v>284</v>
      </c>
      <c r="B83" s="23"/>
      <c r="C83" s="24"/>
      <c r="D83" s="25" t="s">
        <v>22</v>
      </c>
      <c r="E83" s="26"/>
      <c r="F83" s="22">
        <v>60000</v>
      </c>
      <c r="G83" s="21">
        <f t="shared" si="1"/>
        <v>3397242.9699999928</v>
      </c>
    </row>
    <row r="84" spans="1:7">
      <c r="A84" s="17" t="s">
        <v>273</v>
      </c>
      <c r="B84" s="23" t="s">
        <v>274</v>
      </c>
      <c r="C84" s="24" t="s">
        <v>275</v>
      </c>
      <c r="D84" s="25" t="s">
        <v>272</v>
      </c>
      <c r="E84" s="26">
        <f>108953.2-30240-20160</f>
        <v>58553.2</v>
      </c>
      <c r="F84" s="22"/>
      <c r="G84" s="21">
        <f t="shared" si="1"/>
        <v>3455796.1699999929</v>
      </c>
    </row>
    <row r="85" spans="1:7">
      <c r="A85" s="17" t="s">
        <v>296</v>
      </c>
      <c r="B85" s="23"/>
      <c r="C85" s="24"/>
      <c r="D85" s="25" t="s">
        <v>22</v>
      </c>
      <c r="E85" s="26"/>
      <c r="F85" s="22">
        <v>80000</v>
      </c>
      <c r="G85" s="21">
        <f t="shared" si="1"/>
        <v>3375796.1699999929</v>
      </c>
    </row>
    <row r="86" spans="1:7">
      <c r="A86" s="17" t="s">
        <v>285</v>
      </c>
      <c r="B86" s="23" t="s">
        <v>286</v>
      </c>
      <c r="C86" s="24" t="s">
        <v>287</v>
      </c>
      <c r="D86" s="25" t="s">
        <v>38</v>
      </c>
      <c r="E86" s="26">
        <v>8553.6</v>
      </c>
      <c r="F86" s="22"/>
      <c r="G86" s="21">
        <f t="shared" si="1"/>
        <v>3384349.769999993</v>
      </c>
    </row>
    <row r="87" spans="1:7">
      <c r="A87" s="17" t="s">
        <v>303</v>
      </c>
      <c r="B87" s="23"/>
      <c r="C87" s="24"/>
      <c r="D87" s="25" t="s">
        <v>22</v>
      </c>
      <c r="E87" s="26"/>
      <c r="F87" s="22">
        <v>3031.13</v>
      </c>
      <c r="G87" s="21">
        <f t="shared" si="1"/>
        <v>3381318.6399999931</v>
      </c>
    </row>
    <row r="88" spans="1:7">
      <c r="A88" s="17" t="s">
        <v>297</v>
      </c>
      <c r="B88" s="23"/>
      <c r="C88" s="24"/>
      <c r="D88" s="25" t="s">
        <v>22</v>
      </c>
      <c r="E88" s="26"/>
      <c r="F88" s="22">
        <v>70700</v>
      </c>
      <c r="G88" s="21">
        <f t="shared" si="1"/>
        <v>3310618.6399999931</v>
      </c>
    </row>
    <row r="89" spans="1:7">
      <c r="A89" s="17" t="s">
        <v>288</v>
      </c>
      <c r="B89" s="23" t="s">
        <v>289</v>
      </c>
      <c r="C89" s="24" t="s">
        <v>290</v>
      </c>
      <c r="D89" s="25" t="s">
        <v>95</v>
      </c>
      <c r="E89" s="26">
        <f>42934.602-38622.6</f>
        <v>4312.0020000000004</v>
      </c>
      <c r="F89" s="22"/>
      <c r="G89" s="21">
        <f t="shared" si="1"/>
        <v>3314930.641999993</v>
      </c>
    </row>
    <row r="90" spans="1:7">
      <c r="A90" s="17" t="s">
        <v>288</v>
      </c>
      <c r="B90" s="23" t="s">
        <v>291</v>
      </c>
      <c r="C90" s="24" t="s">
        <v>290</v>
      </c>
      <c r="D90" s="25" t="s">
        <v>95</v>
      </c>
      <c r="E90" s="26">
        <v>68155.199999999997</v>
      </c>
      <c r="F90" s="22"/>
      <c r="G90" s="21">
        <f t="shared" si="1"/>
        <v>3383085.8419999932</v>
      </c>
    </row>
    <row r="91" spans="1:7">
      <c r="A91" s="17" t="s">
        <v>288</v>
      </c>
      <c r="B91" s="23" t="s">
        <v>292</v>
      </c>
      <c r="C91" s="24" t="s">
        <v>290</v>
      </c>
      <c r="D91" s="25" t="s">
        <v>95</v>
      </c>
      <c r="E91" s="26">
        <v>65737</v>
      </c>
      <c r="F91" s="22"/>
      <c r="G91" s="21">
        <f t="shared" si="1"/>
        <v>3448822.8419999932</v>
      </c>
    </row>
    <row r="92" spans="1:7">
      <c r="A92" s="17" t="s">
        <v>288</v>
      </c>
      <c r="B92" s="23" t="s">
        <v>293</v>
      </c>
      <c r="C92" s="24" t="s">
        <v>290</v>
      </c>
      <c r="D92" s="25" t="s">
        <v>95</v>
      </c>
      <c r="E92" s="26">
        <v>29389.95</v>
      </c>
      <c r="F92" s="22"/>
      <c r="G92" s="21">
        <f t="shared" si="1"/>
        <v>3478212.7919999934</v>
      </c>
    </row>
    <row r="93" spans="1:7">
      <c r="A93" s="17" t="s">
        <v>288</v>
      </c>
      <c r="B93" s="23" t="s">
        <v>294</v>
      </c>
      <c r="C93" s="24" t="s">
        <v>290</v>
      </c>
      <c r="D93" s="25" t="s">
        <v>95</v>
      </c>
      <c r="E93" s="26">
        <f>61396.8-7362</f>
        <v>54034.8</v>
      </c>
      <c r="F93" s="22"/>
      <c r="G93" s="21">
        <f t="shared" si="1"/>
        <v>3532247.5919999932</v>
      </c>
    </row>
    <row r="94" spans="1:7">
      <c r="A94" s="17" t="s">
        <v>288</v>
      </c>
      <c r="B94" s="23" t="s">
        <v>295</v>
      </c>
      <c r="C94" s="24" t="s">
        <v>290</v>
      </c>
      <c r="D94" s="25" t="s">
        <v>42</v>
      </c>
      <c r="E94" s="26">
        <v>288225</v>
      </c>
      <c r="F94" s="22"/>
      <c r="G94" s="21">
        <f t="shared" si="1"/>
        <v>3820472.5919999932</v>
      </c>
    </row>
    <row r="95" spans="1:7">
      <c r="A95" s="17" t="s">
        <v>288</v>
      </c>
      <c r="B95" s="23"/>
      <c r="C95" s="24"/>
      <c r="D95" s="25" t="s">
        <v>22</v>
      </c>
      <c r="E95" s="26"/>
      <c r="F95" s="22">
        <v>69300</v>
      </c>
      <c r="G95" s="21">
        <f t="shared" si="1"/>
        <v>3751172.5919999932</v>
      </c>
    </row>
    <row r="96" spans="1:7">
      <c r="A96" s="17" t="s">
        <v>299</v>
      </c>
      <c r="B96" s="23"/>
      <c r="C96" s="24"/>
      <c r="D96" s="25" t="s">
        <v>22</v>
      </c>
      <c r="E96" s="26"/>
      <c r="F96" s="22">
        <v>80000</v>
      </c>
      <c r="G96" s="21">
        <f t="shared" si="1"/>
        <v>3671172.5919999932</v>
      </c>
    </row>
    <row r="97" spans="1:7">
      <c r="A97" s="27" t="s">
        <v>298</v>
      </c>
      <c r="B97" s="28"/>
      <c r="C97" s="29"/>
      <c r="D97" s="25" t="s">
        <v>22</v>
      </c>
      <c r="E97" s="31"/>
      <c r="F97" s="32">
        <v>80000</v>
      </c>
      <c r="G97" s="21">
        <f t="shared" si="1"/>
        <v>3591172.5919999932</v>
      </c>
    </row>
    <row r="98" spans="1:7">
      <c r="A98" s="27" t="s">
        <v>300</v>
      </c>
      <c r="B98" s="28"/>
      <c r="C98" s="29"/>
      <c r="D98" s="25" t="s">
        <v>22</v>
      </c>
      <c r="E98" s="31"/>
      <c r="F98" s="32">
        <v>30000</v>
      </c>
      <c r="G98" s="21">
        <f t="shared" si="1"/>
        <v>3561172.5919999932</v>
      </c>
    </row>
    <row r="99" spans="1:7">
      <c r="A99" s="27" t="s">
        <v>301</v>
      </c>
      <c r="B99" s="28"/>
      <c r="C99" s="29"/>
      <c r="D99" s="25" t="s">
        <v>22</v>
      </c>
      <c r="E99" s="31"/>
      <c r="F99" s="32">
        <v>80000</v>
      </c>
      <c r="G99" s="21">
        <f t="shared" si="1"/>
        <v>3481172.5919999932</v>
      </c>
    </row>
    <row r="100" spans="1:7">
      <c r="A100" s="17" t="s">
        <v>352</v>
      </c>
      <c r="B100" s="18" t="s">
        <v>355</v>
      </c>
      <c r="C100" s="19" t="s">
        <v>354</v>
      </c>
      <c r="D100" s="20" t="s">
        <v>95</v>
      </c>
      <c r="E100" s="21">
        <v>44443.6</v>
      </c>
      <c r="F100" s="22"/>
      <c r="G100" s="21">
        <f t="shared" si="1"/>
        <v>3525616.1919999933</v>
      </c>
    </row>
    <row r="101" spans="1:7">
      <c r="A101" s="17" t="s">
        <v>352</v>
      </c>
      <c r="B101" s="23" t="s">
        <v>353</v>
      </c>
      <c r="C101" s="24" t="s">
        <v>354</v>
      </c>
      <c r="D101" s="25" t="s">
        <v>95</v>
      </c>
      <c r="E101" s="26">
        <v>43884</v>
      </c>
      <c r="F101" s="22"/>
      <c r="G101" s="21">
        <f t="shared" si="1"/>
        <v>3569500.1919999933</v>
      </c>
    </row>
    <row r="102" spans="1:7">
      <c r="A102" s="17" t="s">
        <v>356</v>
      </c>
      <c r="B102" s="23" t="s">
        <v>357</v>
      </c>
      <c r="C102" s="24"/>
      <c r="D102" s="25" t="s">
        <v>22</v>
      </c>
      <c r="E102" s="26"/>
      <c r="F102" s="22">
        <v>30000</v>
      </c>
      <c r="G102" s="21">
        <f t="shared" si="1"/>
        <v>3539500.1919999933</v>
      </c>
    </row>
    <row r="103" spans="1:7">
      <c r="A103" s="17" t="s">
        <v>358</v>
      </c>
      <c r="B103" s="23" t="s">
        <v>359</v>
      </c>
      <c r="C103" s="24"/>
      <c r="D103" s="25" t="s">
        <v>22</v>
      </c>
      <c r="E103" s="26"/>
      <c r="F103" s="22">
        <v>80000</v>
      </c>
      <c r="G103" s="21">
        <f t="shared" si="1"/>
        <v>3459500.1919999933</v>
      </c>
    </row>
    <row r="104" spans="1:7">
      <c r="A104" s="17" t="s">
        <v>360</v>
      </c>
      <c r="B104" s="23" t="s">
        <v>361</v>
      </c>
      <c r="C104" s="24"/>
      <c r="D104" s="25" t="s">
        <v>22</v>
      </c>
      <c r="E104" s="26"/>
      <c r="F104" s="22">
        <v>30000</v>
      </c>
      <c r="G104" s="21">
        <f t="shared" si="1"/>
        <v>3429500.1919999933</v>
      </c>
    </row>
    <row r="105" spans="1:7">
      <c r="A105" s="17" t="s">
        <v>362</v>
      </c>
      <c r="B105" s="23" t="s">
        <v>363</v>
      </c>
      <c r="C105" s="24"/>
      <c r="D105" s="25" t="s">
        <v>22</v>
      </c>
      <c r="E105" s="26"/>
      <c r="F105" s="22">
        <v>80000</v>
      </c>
      <c r="G105" s="21">
        <f t="shared" si="1"/>
        <v>3349500.1919999933</v>
      </c>
    </row>
    <row r="106" spans="1:7">
      <c r="A106" s="17" t="s">
        <v>364</v>
      </c>
      <c r="B106" s="23" t="s">
        <v>365</v>
      </c>
      <c r="C106" s="24"/>
      <c r="D106" s="25" t="s">
        <v>22</v>
      </c>
      <c r="E106" s="26"/>
      <c r="F106" s="22">
        <v>10000</v>
      </c>
      <c r="G106" s="21">
        <f t="shared" si="1"/>
        <v>3339500.1919999933</v>
      </c>
    </row>
    <row r="107" spans="1:7">
      <c r="A107" s="17" t="s">
        <v>366</v>
      </c>
      <c r="B107" s="23" t="s">
        <v>367</v>
      </c>
      <c r="C107" s="24"/>
      <c r="D107" s="25" t="s">
        <v>22</v>
      </c>
      <c r="E107" s="26"/>
      <c r="F107" s="22">
        <v>18000</v>
      </c>
      <c r="G107" s="21">
        <f t="shared" si="1"/>
        <v>3321500.1919999933</v>
      </c>
    </row>
    <row r="108" spans="1:7">
      <c r="A108" s="17" t="s">
        <v>368</v>
      </c>
      <c r="B108" s="23" t="s">
        <v>369</v>
      </c>
      <c r="C108" s="24"/>
      <c r="D108" s="25" t="s">
        <v>22</v>
      </c>
      <c r="E108" s="26"/>
      <c r="F108" s="22">
        <v>30000</v>
      </c>
      <c r="G108" s="21">
        <f t="shared" si="1"/>
        <v>3291500.1919999933</v>
      </c>
    </row>
    <row r="109" spans="1:7">
      <c r="A109" s="27" t="s">
        <v>257</v>
      </c>
      <c r="B109" s="28">
        <v>1725</v>
      </c>
      <c r="C109" s="29"/>
      <c r="D109" s="30" t="s">
        <v>22</v>
      </c>
      <c r="E109" s="31"/>
      <c r="F109" s="32">
        <v>14000</v>
      </c>
      <c r="G109" s="21">
        <f t="shared" si="1"/>
        <v>3277500.1919999933</v>
      </c>
    </row>
    <row r="110" spans="1:7">
      <c r="A110" s="27" t="s">
        <v>370</v>
      </c>
      <c r="B110" s="28">
        <v>1728</v>
      </c>
      <c r="C110" s="29"/>
      <c r="D110" s="30" t="s">
        <v>22</v>
      </c>
      <c r="E110" s="31"/>
      <c r="F110" s="32">
        <v>35000</v>
      </c>
      <c r="G110" s="21">
        <f t="shared" si="1"/>
        <v>3242500.1919999933</v>
      </c>
    </row>
    <row r="111" spans="1:7">
      <c r="A111" s="27" t="s">
        <v>371</v>
      </c>
      <c r="B111" s="28">
        <v>1736</v>
      </c>
      <c r="C111" s="29"/>
      <c r="D111" s="30" t="s">
        <v>22</v>
      </c>
      <c r="E111" s="31"/>
      <c r="F111" s="32">
        <v>39000</v>
      </c>
      <c r="G111" s="21">
        <f t="shared" si="1"/>
        <v>3203500.1919999933</v>
      </c>
    </row>
    <row r="112" spans="1:7">
      <c r="A112" s="33" t="s">
        <v>372</v>
      </c>
      <c r="B112" s="28">
        <v>1737</v>
      </c>
      <c r="C112" s="29"/>
      <c r="D112" s="30" t="s">
        <v>22</v>
      </c>
      <c r="E112" s="31"/>
      <c r="F112" s="32">
        <v>40000</v>
      </c>
      <c r="G112" s="21">
        <f t="shared" si="1"/>
        <v>3163500.1919999933</v>
      </c>
    </row>
    <row r="113" spans="1:7">
      <c r="A113" s="17" t="s">
        <v>373</v>
      </c>
      <c r="B113" s="23" t="s">
        <v>391</v>
      </c>
      <c r="C113" s="24" t="s">
        <v>396</v>
      </c>
      <c r="D113" s="25" t="s">
        <v>93</v>
      </c>
      <c r="E113" s="26">
        <v>157286.39999999999</v>
      </c>
      <c r="F113" s="22"/>
      <c r="G113" s="21">
        <f t="shared" si="1"/>
        <v>3320786.5919999932</v>
      </c>
    </row>
    <row r="114" spans="1:7">
      <c r="A114" s="17" t="s">
        <v>373</v>
      </c>
      <c r="B114" s="23" t="s">
        <v>374</v>
      </c>
      <c r="C114" s="24"/>
      <c r="D114" s="25" t="s">
        <v>22</v>
      </c>
      <c r="E114" s="26"/>
      <c r="F114" s="22">
        <v>45000</v>
      </c>
      <c r="G114" s="21">
        <f t="shared" si="1"/>
        <v>3275786.5919999932</v>
      </c>
    </row>
    <row r="115" spans="1:7">
      <c r="A115" s="17" t="s">
        <v>375</v>
      </c>
      <c r="B115" s="23" t="s">
        <v>376</v>
      </c>
      <c r="C115" s="24"/>
      <c r="D115" s="25" t="s">
        <v>22</v>
      </c>
      <c r="E115" s="26"/>
      <c r="F115" s="22">
        <v>50000</v>
      </c>
      <c r="G115" s="21">
        <f t="shared" si="1"/>
        <v>3225786.5919999932</v>
      </c>
    </row>
    <row r="116" spans="1:7">
      <c r="A116" s="17" t="s">
        <v>377</v>
      </c>
      <c r="B116" s="23" t="s">
        <v>378</v>
      </c>
      <c r="C116" s="24"/>
      <c r="D116" s="25" t="s">
        <v>22</v>
      </c>
      <c r="E116" s="26"/>
      <c r="F116" s="22">
        <v>30000</v>
      </c>
      <c r="G116" s="21">
        <f t="shared" si="1"/>
        <v>3195786.5919999932</v>
      </c>
    </row>
    <row r="117" spans="1:7">
      <c r="A117" s="17" t="s">
        <v>379</v>
      </c>
      <c r="B117" s="23" t="s">
        <v>392</v>
      </c>
      <c r="C117" s="24" t="s">
        <v>395</v>
      </c>
      <c r="D117" s="25" t="s">
        <v>95</v>
      </c>
      <c r="E117" s="26">
        <v>50227.199999999997</v>
      </c>
      <c r="F117" s="22"/>
      <c r="G117" s="21">
        <f t="shared" si="1"/>
        <v>3246013.7919999934</v>
      </c>
    </row>
    <row r="118" spans="1:7">
      <c r="A118" s="17" t="s">
        <v>379</v>
      </c>
      <c r="B118" s="23" t="s">
        <v>380</v>
      </c>
      <c r="C118" s="24"/>
      <c r="D118" s="25" t="s">
        <v>22</v>
      </c>
      <c r="E118" s="26"/>
      <c r="F118" s="22">
        <v>30000</v>
      </c>
      <c r="G118" s="21">
        <f t="shared" si="1"/>
        <v>3216013.7919999934</v>
      </c>
    </row>
    <row r="119" spans="1:7">
      <c r="A119" s="17" t="s">
        <v>381</v>
      </c>
      <c r="B119" s="23" t="s">
        <v>382</v>
      </c>
      <c r="C119" s="24"/>
      <c r="D119" s="25" t="s">
        <v>22</v>
      </c>
      <c r="E119" s="26"/>
      <c r="F119" s="22">
        <v>59000</v>
      </c>
      <c r="G119" s="21">
        <f t="shared" si="1"/>
        <v>3157013.7919999934</v>
      </c>
    </row>
    <row r="120" spans="1:7">
      <c r="A120" s="17" t="s">
        <v>393</v>
      </c>
      <c r="B120" s="23" t="s">
        <v>394</v>
      </c>
      <c r="C120" s="24" t="s">
        <v>397</v>
      </c>
      <c r="D120" s="25" t="s">
        <v>93</v>
      </c>
      <c r="E120" s="26">
        <f>87864.8-6984</f>
        <v>80880.800000000003</v>
      </c>
      <c r="F120" s="22"/>
      <c r="G120" s="21">
        <f t="shared" si="1"/>
        <v>3237894.5919999932</v>
      </c>
    </row>
    <row r="121" spans="1:7">
      <c r="A121" s="17" t="s">
        <v>398</v>
      </c>
      <c r="B121" s="23" t="s">
        <v>399</v>
      </c>
      <c r="C121" s="24" t="s">
        <v>400</v>
      </c>
      <c r="D121" s="25" t="s">
        <v>95</v>
      </c>
      <c r="E121" s="26">
        <v>2030</v>
      </c>
      <c r="F121" s="22"/>
      <c r="G121" s="21">
        <f t="shared" si="1"/>
        <v>3239924.5919999932</v>
      </c>
    </row>
    <row r="122" spans="1:7">
      <c r="A122" s="17" t="s">
        <v>383</v>
      </c>
      <c r="B122" s="23" t="s">
        <v>384</v>
      </c>
      <c r="C122" s="24"/>
      <c r="D122" s="25" t="s">
        <v>22</v>
      </c>
      <c r="E122" s="26"/>
      <c r="F122" s="22">
        <v>18000</v>
      </c>
      <c r="G122" s="21">
        <f t="shared" si="1"/>
        <v>3221924.5919999932</v>
      </c>
    </row>
    <row r="123" spans="1:7">
      <c r="A123" s="17" t="s">
        <v>383</v>
      </c>
      <c r="B123" s="23" t="s">
        <v>385</v>
      </c>
      <c r="C123" s="24"/>
      <c r="D123" s="25" t="s">
        <v>22</v>
      </c>
      <c r="E123" s="26"/>
      <c r="F123" s="22">
        <v>80000</v>
      </c>
      <c r="G123" s="21">
        <f t="shared" si="1"/>
        <v>3141924.5919999932</v>
      </c>
    </row>
    <row r="124" spans="1:7">
      <c r="A124" s="17" t="s">
        <v>383</v>
      </c>
      <c r="B124" s="23" t="s">
        <v>386</v>
      </c>
      <c r="C124" s="24"/>
      <c r="D124" s="25" t="s">
        <v>22</v>
      </c>
      <c r="E124" s="26"/>
      <c r="F124" s="22">
        <v>18000</v>
      </c>
      <c r="G124" s="21">
        <f t="shared" si="1"/>
        <v>3123924.5919999932</v>
      </c>
    </row>
    <row r="125" spans="1:7">
      <c r="A125" s="17" t="s">
        <v>387</v>
      </c>
      <c r="B125" s="23" t="s">
        <v>388</v>
      </c>
      <c r="C125" s="24"/>
      <c r="D125" s="25" t="s">
        <v>22</v>
      </c>
      <c r="E125" s="26"/>
      <c r="F125" s="22">
        <v>40000</v>
      </c>
      <c r="G125" s="21">
        <f t="shared" si="1"/>
        <v>3083924.5919999932</v>
      </c>
    </row>
    <row r="126" spans="1:7">
      <c r="A126" s="27" t="s">
        <v>389</v>
      </c>
      <c r="B126" s="28">
        <v>1772</v>
      </c>
      <c r="C126" s="29"/>
      <c r="D126" s="30" t="s">
        <v>22</v>
      </c>
      <c r="E126" s="31"/>
      <c r="F126" s="32">
        <v>80000</v>
      </c>
      <c r="G126" s="21">
        <f t="shared" si="1"/>
        <v>3003924.5919999932</v>
      </c>
    </row>
    <row r="127" spans="1:7">
      <c r="A127" s="27" t="s">
        <v>390</v>
      </c>
      <c r="B127" s="28">
        <v>1778</v>
      </c>
      <c r="C127" s="29"/>
      <c r="D127" s="30" t="s">
        <v>22</v>
      </c>
      <c r="E127" s="31"/>
      <c r="F127" s="32">
        <v>40000</v>
      </c>
      <c r="G127" s="21">
        <f t="shared" si="1"/>
        <v>2963924.5919999932</v>
      </c>
    </row>
    <row r="128" spans="1:7">
      <c r="A128" s="27" t="s">
        <v>401</v>
      </c>
      <c r="B128" s="28" t="s">
        <v>402</v>
      </c>
      <c r="C128" s="29" t="s">
        <v>403</v>
      </c>
      <c r="D128" s="30" t="s">
        <v>93</v>
      </c>
      <c r="E128" s="31">
        <v>69104</v>
      </c>
      <c r="F128" s="32"/>
      <c r="G128" s="21">
        <f t="shared" si="1"/>
        <v>3033028.5919999932</v>
      </c>
    </row>
    <row r="129" spans="1:7">
      <c r="A129" s="17" t="s">
        <v>404</v>
      </c>
      <c r="B129" s="23" t="s">
        <v>405</v>
      </c>
      <c r="C129" s="24" t="s">
        <v>406</v>
      </c>
      <c r="D129" s="25" t="s">
        <v>38</v>
      </c>
      <c r="E129" s="26">
        <v>68256</v>
      </c>
      <c r="F129" s="22"/>
      <c r="G129" s="21">
        <f t="shared" si="1"/>
        <v>3101284.5919999932</v>
      </c>
    </row>
    <row r="130" spans="1:7">
      <c r="A130" s="17" t="s">
        <v>407</v>
      </c>
      <c r="B130" s="23" t="s">
        <v>408</v>
      </c>
      <c r="C130" s="24" t="s">
        <v>421</v>
      </c>
      <c r="D130" s="25" t="s">
        <v>93</v>
      </c>
      <c r="E130" s="26">
        <v>369893.6</v>
      </c>
      <c r="F130" s="22"/>
      <c r="G130" s="21">
        <f t="shared" si="1"/>
        <v>3471178.1919999933</v>
      </c>
    </row>
    <row r="131" spans="1:7">
      <c r="A131" s="17" t="s">
        <v>409</v>
      </c>
      <c r="B131" s="23" t="s">
        <v>410</v>
      </c>
      <c r="C131" s="24" t="s">
        <v>411</v>
      </c>
      <c r="D131" s="25" t="s">
        <v>95</v>
      </c>
      <c r="E131" s="26">
        <v>83594.399999999994</v>
      </c>
      <c r="F131" s="22"/>
      <c r="G131" s="21">
        <f t="shared" si="1"/>
        <v>3554772.5919999932</v>
      </c>
    </row>
    <row r="132" spans="1:7">
      <c r="A132" s="17" t="s">
        <v>409</v>
      </c>
      <c r="B132" s="23" t="s">
        <v>412</v>
      </c>
      <c r="C132" s="24" t="s">
        <v>413</v>
      </c>
      <c r="D132" s="25" t="s">
        <v>95</v>
      </c>
      <c r="E132" s="26">
        <v>126557.35</v>
      </c>
      <c r="F132" s="22"/>
      <c r="G132" s="21">
        <f t="shared" si="1"/>
        <v>3681329.9419999933</v>
      </c>
    </row>
    <row r="133" spans="1:7">
      <c r="A133" s="17" t="s">
        <v>409</v>
      </c>
      <c r="B133" s="23" t="s">
        <v>414</v>
      </c>
      <c r="C133" s="24" t="s">
        <v>411</v>
      </c>
      <c r="D133" s="25" t="s">
        <v>95</v>
      </c>
      <c r="E133" s="26">
        <v>59192.800000000003</v>
      </c>
      <c r="F133" s="22"/>
      <c r="G133" s="21">
        <f t="shared" si="1"/>
        <v>3740522.7419999931</v>
      </c>
    </row>
    <row r="134" spans="1:7">
      <c r="A134" s="17" t="s">
        <v>409</v>
      </c>
      <c r="B134" s="23" t="s">
        <v>415</v>
      </c>
      <c r="C134" s="24" t="s">
        <v>411</v>
      </c>
      <c r="D134" s="25" t="s">
        <v>95</v>
      </c>
      <c r="E134" s="26">
        <v>45554</v>
      </c>
      <c r="F134" s="22"/>
      <c r="G134" s="21">
        <f t="shared" si="1"/>
        <v>3786076.7419999931</v>
      </c>
    </row>
    <row r="135" spans="1:7">
      <c r="A135" s="17" t="s">
        <v>416</v>
      </c>
      <c r="B135" s="23" t="s">
        <v>417</v>
      </c>
      <c r="C135" s="24" t="s">
        <v>418</v>
      </c>
      <c r="D135" s="25" t="s">
        <v>38</v>
      </c>
      <c r="E135" s="26">
        <v>12480</v>
      </c>
      <c r="F135" s="22"/>
      <c r="G135" s="21">
        <f t="shared" si="1"/>
        <v>3798556.7419999931</v>
      </c>
    </row>
    <row r="136" spans="1:7">
      <c r="A136" s="17" t="s">
        <v>419</v>
      </c>
      <c r="B136" s="23" t="s">
        <v>420</v>
      </c>
      <c r="C136" s="24" t="s">
        <v>185</v>
      </c>
      <c r="D136" s="25" t="s">
        <v>95</v>
      </c>
      <c r="E136" s="26">
        <v>12950</v>
      </c>
      <c r="F136" s="22"/>
      <c r="G136" s="21">
        <f t="shared" si="1"/>
        <v>3811506.7419999931</v>
      </c>
    </row>
    <row r="137" spans="1:7">
      <c r="A137" s="27"/>
      <c r="B137" s="55"/>
      <c r="C137" s="34"/>
      <c r="D137" s="57"/>
      <c r="E137" s="56"/>
      <c r="F137" s="32"/>
      <c r="G137" s="21"/>
    </row>
    <row r="138" spans="1:7">
      <c r="A138" s="35"/>
      <c r="B138" s="28"/>
      <c r="C138" s="29"/>
      <c r="D138" s="30"/>
      <c r="E138" s="31"/>
      <c r="F138" s="32"/>
      <c r="G138" s="21"/>
    </row>
    <row r="139" spans="1:7">
      <c r="A139" s="36" t="s">
        <v>163</v>
      </c>
      <c r="B139" s="37"/>
      <c r="C139" s="37"/>
      <c r="D139" s="37"/>
      <c r="E139" s="38">
        <f>SUM(E11:E138)</f>
        <v>7792569.0019999919</v>
      </c>
      <c r="F139" s="3"/>
      <c r="G139" s="3"/>
    </row>
    <row r="140" spans="1:7">
      <c r="A140" s="39" t="s">
        <v>164</v>
      </c>
      <c r="B140" s="3"/>
      <c r="C140" s="3"/>
      <c r="D140" s="3"/>
      <c r="E140" s="3"/>
      <c r="F140" s="38">
        <f>SUM(F12:F139)</f>
        <v>3981062.26</v>
      </c>
      <c r="G140" s="3"/>
    </row>
    <row r="141" spans="1:7">
      <c r="A141" s="39" t="s">
        <v>165</v>
      </c>
      <c r="B141" s="3"/>
      <c r="C141" s="3"/>
      <c r="D141" s="3"/>
      <c r="E141" s="3"/>
      <c r="F141" s="40"/>
      <c r="G141" s="41">
        <f>E139-F140</f>
        <v>3811506.7419999922</v>
      </c>
    </row>
    <row r="142" spans="1:7">
      <c r="A142" s="42" t="s">
        <v>166</v>
      </c>
      <c r="B142" s="3"/>
      <c r="C142" s="3"/>
      <c r="D142" s="3"/>
      <c r="E142" s="3"/>
      <c r="F142" s="40"/>
      <c r="G142" s="43">
        <f>G141-G143</f>
        <v>3493683.8419999923</v>
      </c>
    </row>
    <row r="143" spans="1:7">
      <c r="A143" s="44" t="s">
        <v>167</v>
      </c>
      <c r="B143" s="45"/>
      <c r="C143" s="45"/>
      <c r="D143" s="45"/>
      <c r="E143" s="46"/>
      <c r="F143" s="46"/>
      <c r="G143" s="47">
        <f>SUM(E32:E38)</f>
        <v>317822.90000000002</v>
      </c>
    </row>
    <row r="144" spans="1:7">
      <c r="A144" s="3"/>
      <c r="B144" s="3"/>
      <c r="C144" s="3"/>
      <c r="D144" s="3"/>
      <c r="E144" s="3"/>
      <c r="F144" s="3"/>
      <c r="G144" s="3"/>
    </row>
    <row r="145" spans="1:7" ht="15.75" thickBot="1">
      <c r="A145" s="48"/>
      <c r="B145" s="49"/>
      <c r="C145" s="50"/>
      <c r="D145" s="48"/>
      <c r="E145" s="51"/>
      <c r="F145" s="52"/>
      <c r="G145" s="52"/>
    </row>
  </sheetData>
  <mergeCells count="8">
    <mergeCell ref="F9:G9"/>
    <mergeCell ref="A1:B1"/>
    <mergeCell ref="F6:G6"/>
    <mergeCell ref="B7:C7"/>
    <mergeCell ref="F7:G7"/>
    <mergeCell ref="B8:C8"/>
    <mergeCell ref="F8:G8"/>
    <mergeCell ref="C1:E1"/>
  </mergeCells>
  <hyperlinks>
    <hyperlink ref="F3" r:id="rId1" xr:uid="{F3F6B594-9C48-4E02-8947-E94EBBA1FDAA}"/>
  </hyperlinks>
  <pageMargins left="0.7" right="0.7" top="0.75" bottom="0.75" header="0.3" footer="0.3"/>
  <pageSetup paperSize="9" scale="56" orientation="portrait" horizontalDpi="360" verticalDpi="360" r:id="rId2"/>
  <rowBreaks count="1" manualBreakCount="1">
    <brk id="76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 2024</vt:lpstr>
      <vt:lpstr>YEAR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Marlon Apat</cp:lastModifiedBy>
  <cp:lastPrinted>2025-07-21T03:36:33Z</cp:lastPrinted>
  <dcterms:created xsi:type="dcterms:W3CDTF">2025-02-03T01:44:14Z</dcterms:created>
  <dcterms:modified xsi:type="dcterms:W3CDTF">2026-02-03T06:33:12Z</dcterms:modified>
</cp:coreProperties>
</file>