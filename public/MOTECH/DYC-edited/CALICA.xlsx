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EB_SYSTEM2025\MotechInventorySystem\public\MOTECH\DYC-edited\"/>
    </mc:Choice>
  </mc:AlternateContent>
  <xr:revisionPtr revIDLastSave="0" documentId="8_{C4044EAF-D676-4BCE-91E0-AA711E8AB7A9}" xr6:coauthVersionLast="47" xr6:coauthVersionMax="47" xr10:uidLastSave="{00000000-0000-0000-0000-000000000000}"/>
  <bookViews>
    <workbookView xWindow="30612" yWindow="-108" windowWidth="30936" windowHeight="16896" xr2:uid="{A826084D-1FA5-431C-B271-0BCF5FE5EFF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2" i="1" l="1"/>
  <c r="I3" i="1" s="1"/>
  <c r="I4" i="1" s="1"/>
  <c r="I5" i="1" s="1"/>
  <c r="I6" i="1" s="1"/>
  <c r="I7" i="1" s="1"/>
  <c r="I8" i="1" s="1"/>
  <c r="I9" i="1" s="1"/>
  <c r="I10" i="1" s="1"/>
  <c r="I11" i="1" s="1"/>
  <c r="I12" i="1" s="1"/>
  <c r="I13" i="1" s="1"/>
  <c r="I14" i="1" s="1"/>
  <c r="I15" i="1" s="1"/>
  <c r="I16" i="1" s="1"/>
  <c r="I17" i="1" s="1"/>
  <c r="I18" i="1" s="1"/>
  <c r="I19" i="1" s="1"/>
  <c r="I20" i="1" s="1"/>
  <c r="I21" i="1" s="1"/>
  <c r="I22" i="1" s="1"/>
  <c r="G254" i="1"/>
  <c r="G227" i="1"/>
  <c r="G223" i="1"/>
  <c r="G218" i="1"/>
  <c r="G211" i="1"/>
  <c r="G191" i="1"/>
  <c r="G190" i="1"/>
  <c r="G160" i="1"/>
  <c r="G66" i="1"/>
  <c r="G47" i="1"/>
  <c r="G36" i="1"/>
  <c r="G33" i="1"/>
  <c r="G23" i="1"/>
  <c r="I23" i="1" l="1"/>
  <c r="I24" i="1" s="1"/>
  <c r="I25" i="1" s="1"/>
  <c r="I26" i="1" s="1"/>
  <c r="I27" i="1" s="1"/>
  <c r="I28" i="1" s="1"/>
  <c r="I29" i="1" s="1"/>
  <c r="I30" i="1" s="1"/>
  <c r="I31" i="1" s="1"/>
  <c r="I32" i="1" s="1"/>
  <c r="I33" i="1" s="1"/>
  <c r="I34" i="1" s="1"/>
  <c r="I35" i="1" s="1"/>
  <c r="I36" i="1" s="1"/>
  <c r="I37" i="1" s="1"/>
  <c r="I38" i="1" s="1"/>
  <c r="I39" i="1" s="1"/>
  <c r="I40" i="1" s="1"/>
  <c r="I41" i="1" s="1"/>
  <c r="I42" i="1" s="1"/>
  <c r="I43" i="1" s="1"/>
  <c r="I44" i="1" s="1"/>
  <c r="I45" i="1" s="1"/>
  <c r="I46" i="1" s="1"/>
  <c r="I47" i="1" s="1"/>
  <c r="I48" i="1" s="1"/>
  <c r="I49" i="1" s="1"/>
  <c r="I50" i="1" s="1"/>
  <c r="I51" i="1" s="1"/>
  <c r="I52" i="1" s="1"/>
  <c r="I53" i="1" s="1"/>
  <c r="I54" i="1" s="1"/>
  <c r="I55" i="1" s="1"/>
  <c r="I56" i="1" s="1"/>
  <c r="I57" i="1" s="1"/>
  <c r="I58" i="1" s="1"/>
  <c r="I59" i="1" s="1"/>
  <c r="I60" i="1" s="1"/>
  <c r="I61" i="1" s="1"/>
  <c r="I62" i="1" s="1"/>
  <c r="I63" i="1" s="1"/>
  <c r="I64" i="1" s="1"/>
  <c r="I65" i="1" s="1"/>
  <c r="I66" i="1" s="1"/>
  <c r="I67" i="1" s="1"/>
  <c r="I68" i="1" s="1"/>
  <c r="I69" i="1" s="1"/>
  <c r="I70" i="1" s="1"/>
  <c r="I71" i="1" s="1"/>
  <c r="I72" i="1" s="1"/>
  <c r="I73" i="1" s="1"/>
  <c r="I74" i="1" s="1"/>
  <c r="I75" i="1" s="1"/>
  <c r="I76" i="1" s="1"/>
  <c r="I77" i="1" s="1"/>
  <c r="I78" i="1" s="1"/>
  <c r="I79" i="1" s="1"/>
  <c r="I80" i="1" s="1"/>
  <c r="I81" i="1" s="1"/>
  <c r="I82" i="1" s="1"/>
  <c r="I83" i="1" s="1"/>
  <c r="I84" i="1" s="1"/>
  <c r="I85" i="1" s="1"/>
  <c r="I86" i="1" s="1"/>
  <c r="I87" i="1" s="1"/>
  <c r="I88" i="1" s="1"/>
  <c r="I89" i="1" s="1"/>
  <c r="I90" i="1" s="1"/>
  <c r="I91" i="1" s="1"/>
  <c r="I92" i="1" s="1"/>
  <c r="I93" i="1" s="1"/>
  <c r="I94" i="1" s="1"/>
  <c r="I95" i="1" s="1"/>
  <c r="I96" i="1" s="1"/>
  <c r="I97" i="1" s="1"/>
  <c r="I98" i="1" s="1"/>
  <c r="I99" i="1" s="1"/>
  <c r="I100" i="1" s="1"/>
  <c r="I101" i="1" s="1"/>
  <c r="I102" i="1" s="1"/>
  <c r="I103" i="1" s="1"/>
  <c r="I104" i="1" s="1"/>
  <c r="I105" i="1" s="1"/>
  <c r="I106" i="1" s="1"/>
  <c r="I107" i="1" s="1"/>
  <c r="I108" i="1" s="1"/>
  <c r="I109" i="1" s="1"/>
  <c r="I110" i="1" s="1"/>
  <c r="I111" i="1" s="1"/>
  <c r="I112" i="1" s="1"/>
  <c r="I113" i="1" s="1"/>
  <c r="I114" i="1" s="1"/>
  <c r="I115" i="1" s="1"/>
  <c r="I116" i="1" s="1"/>
  <c r="I117" i="1" s="1"/>
  <c r="I118" i="1" s="1"/>
  <c r="I119" i="1" s="1"/>
  <c r="I120" i="1" s="1"/>
  <c r="I121" i="1" s="1"/>
  <c r="I122" i="1" s="1"/>
  <c r="I123" i="1" s="1"/>
  <c r="I124" i="1" s="1"/>
  <c r="I125" i="1" s="1"/>
  <c r="I126" i="1" s="1"/>
  <c r="I127" i="1" s="1"/>
  <c r="I128" i="1" s="1"/>
  <c r="I129" i="1" s="1"/>
  <c r="I130" i="1" s="1"/>
  <c r="I131" i="1" s="1"/>
  <c r="I132" i="1" s="1"/>
  <c r="I133" i="1" s="1"/>
  <c r="I134" i="1" s="1"/>
  <c r="I135" i="1" s="1"/>
  <c r="I136" i="1" s="1"/>
  <c r="I137" i="1" s="1"/>
  <c r="I138" i="1" s="1"/>
  <c r="I139" i="1" s="1"/>
  <c r="I140" i="1" s="1"/>
  <c r="I141" i="1" s="1"/>
  <c r="I142" i="1" s="1"/>
  <c r="I143" i="1" s="1"/>
  <c r="I144" i="1" s="1"/>
  <c r="I145" i="1" s="1"/>
  <c r="I146" i="1" s="1"/>
  <c r="I147" i="1" s="1"/>
  <c r="I148" i="1" s="1"/>
  <c r="I149" i="1" s="1"/>
  <c r="I150" i="1" s="1"/>
  <c r="I151" i="1" s="1"/>
  <c r="I152" i="1" s="1"/>
  <c r="I153" i="1" s="1"/>
  <c r="I154" i="1" s="1"/>
  <c r="I155" i="1" s="1"/>
  <c r="I156" i="1" s="1"/>
  <c r="I157" i="1" s="1"/>
  <c r="I158" i="1" s="1"/>
  <c r="I159" i="1" s="1"/>
  <c r="I160" i="1" s="1"/>
  <c r="I161" i="1" s="1"/>
  <c r="I162" i="1" s="1"/>
  <c r="I163" i="1" s="1"/>
  <c r="I164" i="1" s="1"/>
  <c r="I165" i="1" s="1"/>
  <c r="I166" i="1" s="1"/>
  <c r="I167" i="1" s="1"/>
  <c r="I168" i="1" s="1"/>
  <c r="I169" i="1" s="1"/>
  <c r="I170" i="1" s="1"/>
  <c r="I171" i="1" s="1"/>
  <c r="I172" i="1" s="1"/>
  <c r="I173" i="1" s="1"/>
  <c r="I174" i="1" s="1"/>
  <c r="I175" i="1" s="1"/>
  <c r="I176" i="1" s="1"/>
  <c r="I177" i="1" s="1"/>
  <c r="I178" i="1" s="1"/>
  <c r="I179" i="1" s="1"/>
  <c r="I180" i="1" s="1"/>
  <c r="I181" i="1" s="1"/>
  <c r="I182" i="1" s="1"/>
  <c r="I183" i="1" s="1"/>
  <c r="I184" i="1" s="1"/>
  <c r="I185" i="1" s="1"/>
  <c r="I186" i="1" s="1"/>
  <c r="I187" i="1" s="1"/>
  <c r="I188" i="1" s="1"/>
  <c r="I189" i="1" s="1"/>
  <c r="I190" i="1" s="1"/>
  <c r="I191" i="1" s="1"/>
  <c r="I192" i="1" s="1"/>
  <c r="I193" i="1" s="1"/>
  <c r="I194" i="1" s="1"/>
  <c r="I195" i="1" s="1"/>
  <c r="I196" i="1" s="1"/>
  <c r="I197" i="1" s="1"/>
  <c r="I198" i="1" s="1"/>
  <c r="I199" i="1" s="1"/>
  <c r="I200" i="1" s="1"/>
  <c r="I201" i="1" s="1"/>
  <c r="I202" i="1" s="1"/>
  <c r="I203" i="1" s="1"/>
  <c r="I204" i="1" s="1"/>
  <c r="I205" i="1" s="1"/>
  <c r="I206" i="1" s="1"/>
  <c r="I207" i="1" s="1"/>
  <c r="I208" i="1" s="1"/>
  <c r="I209" i="1" s="1"/>
  <c r="I210" i="1" s="1"/>
  <c r="I211" i="1" s="1"/>
  <c r="I212" i="1" s="1"/>
  <c r="I213" i="1" s="1"/>
  <c r="I214" i="1" s="1"/>
  <c r="I215" i="1" s="1"/>
  <c r="I216" i="1" s="1"/>
  <c r="I217" i="1" s="1"/>
  <c r="I218" i="1" s="1"/>
  <c r="I219" i="1" s="1"/>
  <c r="I220" i="1" s="1"/>
  <c r="I221" i="1" s="1"/>
  <c r="I222" i="1" s="1"/>
  <c r="I223" i="1" s="1"/>
  <c r="I224" i="1" s="1"/>
  <c r="I225" i="1" s="1"/>
  <c r="I226" i="1" s="1"/>
  <c r="I227" i="1" s="1"/>
  <c r="I228" i="1" s="1"/>
  <c r="I229" i="1" s="1"/>
  <c r="I230" i="1" s="1"/>
  <c r="I231" i="1" s="1"/>
  <c r="I232" i="1" s="1"/>
  <c r="I233" i="1" s="1"/>
  <c r="I234" i="1" s="1"/>
  <c r="I235" i="1" s="1"/>
  <c r="I236" i="1" s="1"/>
  <c r="I237" i="1" s="1"/>
  <c r="I238" i="1" s="1"/>
  <c r="I239" i="1" s="1"/>
  <c r="I240" i="1" s="1"/>
  <c r="I241" i="1" s="1"/>
  <c r="I242" i="1" s="1"/>
  <c r="I243" i="1" s="1"/>
  <c r="I244" i="1" s="1"/>
  <c r="I245" i="1" s="1"/>
  <c r="I246" i="1" s="1"/>
  <c r="I247" i="1" s="1"/>
  <c r="I248" i="1" s="1"/>
  <c r="I249" i="1" s="1"/>
  <c r="I250" i="1" s="1"/>
  <c r="I251" i="1" s="1"/>
  <c r="I252" i="1" s="1"/>
  <c r="I253" i="1" s="1"/>
  <c r="I254" i="1" s="1"/>
  <c r="I255" i="1" s="1"/>
  <c r="I256" i="1" s="1"/>
  <c r="I257" i="1" s="1"/>
  <c r="I258" i="1" s="1"/>
  <c r="I259" i="1" s="1"/>
  <c r="I260" i="1" s="1"/>
  <c r="I261" i="1" s="1"/>
  <c r="I262" i="1" s="1"/>
  <c r="I263" i="1" s="1"/>
  <c r="I264" i="1" s="1"/>
  <c r="I265" i="1" s="1"/>
  <c r="I266" i="1" s="1"/>
  <c r="I267" i="1" s="1"/>
  <c r="I268" i="1" s="1"/>
  <c r="I269" i="1" s="1"/>
  <c r="I270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D38" authorId="0" shapeId="0" xr:uid="{B94127AF-7E25-478D-BF1E-716E24889B7F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LGC</t>
        </r>
      </text>
    </comment>
    <comment ref="D54" authorId="0" shapeId="0" xr:uid="{AAE51CE9-BF12-4AC6-BBBE-E2C901AB815F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LGC</t>
        </r>
      </text>
    </comment>
    <comment ref="D118" authorId="0" shapeId="0" xr:uid="{56C08051-845F-4E07-84D9-42FC1B261EEF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LVC</t>
        </r>
      </text>
    </comment>
  </commentList>
</comments>
</file>

<file path=xl/sharedStrings.xml><?xml version="1.0" encoding="utf-8"?>
<sst xmlns="http://schemas.openxmlformats.org/spreadsheetml/2006/main" count="766" uniqueCount="417">
  <si>
    <t>FORWARDED BALANCE</t>
  </si>
  <si>
    <t>977</t>
  </si>
  <si>
    <t>PAYMENT</t>
  </si>
  <si>
    <t>981</t>
  </si>
  <si>
    <t>983</t>
  </si>
  <si>
    <t>987</t>
  </si>
  <si>
    <t>988</t>
  </si>
  <si>
    <t>994</t>
  </si>
  <si>
    <t>1000</t>
  </si>
  <si>
    <t>DR-2493</t>
  </si>
  <si>
    <t>OIL</t>
  </si>
  <si>
    <t>DR-2619</t>
  </si>
  <si>
    <t>OIL &amp; SPAREPARTS</t>
  </si>
  <si>
    <t>DR-2618</t>
  </si>
  <si>
    <t>DR-2646</t>
  </si>
  <si>
    <t>1010</t>
  </si>
  <si>
    <t>DR-2719</t>
  </si>
  <si>
    <t>DR-2718</t>
  </si>
  <si>
    <t>DR-2923</t>
  </si>
  <si>
    <t>DR-2928</t>
  </si>
  <si>
    <t>DR-2929</t>
  </si>
  <si>
    <t>DR-2937</t>
  </si>
  <si>
    <t>DR-2960</t>
  </si>
  <si>
    <t>DR-3062</t>
  </si>
  <si>
    <t>DR-3155</t>
  </si>
  <si>
    <t xml:space="preserve">OIL </t>
  </si>
  <si>
    <t>1079</t>
  </si>
  <si>
    <t>DR-3313</t>
  </si>
  <si>
    <t>SPAREPARTS</t>
  </si>
  <si>
    <t>DR-3317</t>
  </si>
  <si>
    <t>1108</t>
  </si>
  <si>
    <t>1119</t>
  </si>
  <si>
    <t>1127</t>
  </si>
  <si>
    <t>1131</t>
  </si>
  <si>
    <t>1136</t>
  </si>
  <si>
    <t>1137</t>
  </si>
  <si>
    <t>DR-3589</t>
  </si>
  <si>
    <t>DR-3591</t>
  </si>
  <si>
    <t>DR-3588</t>
  </si>
  <si>
    <t>DR-3607</t>
  </si>
  <si>
    <t>1147</t>
  </si>
  <si>
    <t>1155</t>
  </si>
  <si>
    <t>1166</t>
  </si>
  <si>
    <t>1188</t>
  </si>
  <si>
    <t>1198</t>
  </si>
  <si>
    <t>1199</t>
  </si>
  <si>
    <t>DR-4197</t>
  </si>
  <si>
    <t>OILS &amp; SPAREPARTS</t>
  </si>
  <si>
    <t>DR-4198</t>
  </si>
  <si>
    <t>DR-4199</t>
  </si>
  <si>
    <t>OILS</t>
  </si>
  <si>
    <t>1235</t>
  </si>
  <si>
    <t>1239</t>
  </si>
  <si>
    <t>1242</t>
  </si>
  <si>
    <t>DR-4371</t>
  </si>
  <si>
    <t>1266</t>
  </si>
  <si>
    <t>1287</t>
  </si>
  <si>
    <t>1290</t>
  </si>
  <si>
    <t>1291</t>
  </si>
  <si>
    <t>1294</t>
  </si>
  <si>
    <t>1304</t>
  </si>
  <si>
    <t>1308</t>
  </si>
  <si>
    <t>DR-4647</t>
  </si>
  <si>
    <t>DR-4648</t>
  </si>
  <si>
    <t>DR-4649</t>
  </si>
  <si>
    <t>DR-4650</t>
  </si>
  <si>
    <t>DR-4651</t>
  </si>
  <si>
    <t>DR-4664</t>
  </si>
  <si>
    <t>1311</t>
  </si>
  <si>
    <t>1313</t>
  </si>
  <si>
    <t>DR-4703</t>
  </si>
  <si>
    <t>1316</t>
  </si>
  <si>
    <t>1321</t>
  </si>
  <si>
    <t>1328</t>
  </si>
  <si>
    <t>1330</t>
  </si>
  <si>
    <t>1332</t>
  </si>
  <si>
    <t>1333</t>
  </si>
  <si>
    <t>1335</t>
  </si>
  <si>
    <t>DR-4813</t>
  </si>
  <si>
    <t>DR-4837</t>
  </si>
  <si>
    <t>1359</t>
  </si>
  <si>
    <t>1361</t>
  </si>
  <si>
    <t>1364</t>
  </si>
  <si>
    <t>1366</t>
  </si>
  <si>
    <t>11/07/22024</t>
  </si>
  <si>
    <t>1367</t>
  </si>
  <si>
    <t>1371</t>
  </si>
  <si>
    <t>1372</t>
  </si>
  <si>
    <t>1378</t>
  </si>
  <si>
    <t>1379</t>
  </si>
  <si>
    <t>1381</t>
  </si>
  <si>
    <t>1382</t>
  </si>
  <si>
    <t>DR-5085</t>
  </si>
  <si>
    <t>OILS &amp; SPARESPARTS</t>
  </si>
  <si>
    <t>1387</t>
  </si>
  <si>
    <t>1391</t>
  </si>
  <si>
    <t>1404</t>
  </si>
  <si>
    <t>1406</t>
  </si>
  <si>
    <t>1410</t>
  </si>
  <si>
    <t>1414</t>
  </si>
  <si>
    <t>DR-5376</t>
  </si>
  <si>
    <t>1416</t>
  </si>
  <si>
    <t>DR-5446</t>
  </si>
  <si>
    <t>PARTS</t>
  </si>
  <si>
    <t>DR-5709</t>
  </si>
  <si>
    <t>DR-5710</t>
  </si>
  <si>
    <t>DR-5711</t>
  </si>
  <si>
    <t>DR-5713</t>
  </si>
  <si>
    <t>DR-5805</t>
  </si>
  <si>
    <t>04/31/2025</t>
  </si>
  <si>
    <t>DR-6027</t>
  </si>
  <si>
    <t>DR-6028</t>
  </si>
  <si>
    <t>LVC</t>
  </si>
  <si>
    <t>DR-6277</t>
  </si>
  <si>
    <t>DR-6278</t>
  </si>
  <si>
    <t>DR-6350</t>
  </si>
  <si>
    <t>DR-6351</t>
  </si>
  <si>
    <t>DR-6405</t>
  </si>
  <si>
    <t>DR-6654</t>
  </si>
  <si>
    <t>OILS &amp; SPAREPRTS</t>
  </si>
  <si>
    <t>DR-6795</t>
  </si>
  <si>
    <t>DR-6810</t>
  </si>
  <si>
    <t>DR-6937</t>
  </si>
  <si>
    <t>DR-6938</t>
  </si>
  <si>
    <t>DR-6939</t>
  </si>
  <si>
    <t>DR-6940</t>
  </si>
  <si>
    <t>DR-6941</t>
  </si>
  <si>
    <t>DR-6944</t>
  </si>
  <si>
    <t>DR-7102</t>
  </si>
  <si>
    <t>DR-7103</t>
  </si>
  <si>
    <t>1702</t>
  </si>
  <si>
    <t>1707</t>
  </si>
  <si>
    <t>1711</t>
  </si>
  <si>
    <t>1713</t>
  </si>
  <si>
    <t>1718</t>
  </si>
  <si>
    <t>1719</t>
  </si>
  <si>
    <t>0720</t>
  </si>
  <si>
    <t>DR-7375</t>
  </si>
  <si>
    <t>1744</t>
  </si>
  <si>
    <t>1745</t>
  </si>
  <si>
    <t>1749</t>
  </si>
  <si>
    <t>DR-7434</t>
  </si>
  <si>
    <t>1752</t>
  </si>
  <si>
    <t>1756</t>
  </si>
  <si>
    <t>DR-7488</t>
  </si>
  <si>
    <t>DR-7498</t>
  </si>
  <si>
    <t>1762</t>
  </si>
  <si>
    <t>1763</t>
  </si>
  <si>
    <t>1764</t>
  </si>
  <si>
    <t>1768</t>
  </si>
  <si>
    <t>08/29/205</t>
  </si>
  <si>
    <t>DR-7569</t>
  </si>
  <si>
    <t>DR-7609</t>
  </si>
  <si>
    <t>DR-7674</t>
  </si>
  <si>
    <t>DR-7753</t>
  </si>
  <si>
    <t>DR-7755</t>
  </si>
  <si>
    <t>DR-7757</t>
  </si>
  <si>
    <t>DR-7759</t>
  </si>
  <si>
    <t>DR-7791</t>
  </si>
  <si>
    <t>DR-7802</t>
  </si>
  <si>
    <t>id</t>
  </si>
  <si>
    <t>ref_no</t>
  </si>
  <si>
    <t>due_date</t>
  </si>
  <si>
    <t>description</t>
  </si>
  <si>
    <t>debit</t>
  </si>
  <si>
    <t>credit</t>
  </si>
  <si>
    <t>balance</t>
  </si>
  <si>
    <t>transaction_date</t>
  </si>
  <si>
    <t>customer_statement_account_id</t>
  </si>
  <si>
    <t>2024-03-11</t>
  </si>
  <si>
    <t>2024-03-26</t>
  </si>
  <si>
    <t>2024-03-29</t>
  </si>
  <si>
    <t>2024-04-06</t>
  </si>
  <si>
    <t>2024-05-04</t>
  </si>
  <si>
    <t>2024-05-05</t>
  </si>
  <si>
    <t>1900-01-00</t>
  </si>
  <si>
    <t>2024-05-08</t>
  </si>
  <si>
    <t>2024-05-19</t>
  </si>
  <si>
    <t>2024-06-01</t>
  </si>
  <si>
    <t>2024-06-22</t>
  </si>
  <si>
    <t>2024-07-24</t>
  </si>
  <si>
    <t>2024-07-27</t>
  </si>
  <si>
    <t>2024-10-23</t>
  </si>
  <si>
    <t>2024-11-14</t>
  </si>
  <si>
    <t>2024-12-27</t>
  </si>
  <si>
    <t>2025-12-27</t>
  </si>
  <si>
    <t>2026-12-27</t>
  </si>
  <si>
    <t>2027-12-27</t>
  </si>
  <si>
    <t>2028-12-27</t>
  </si>
  <si>
    <t>2029-12-27</t>
  </si>
  <si>
    <t>2025-01-03</t>
  </si>
  <si>
    <t>2025-01-18</t>
  </si>
  <si>
    <t>2024-01-18</t>
  </si>
  <si>
    <t>2025-02-18</t>
  </si>
  <si>
    <t>2025-03-13</t>
  </si>
  <si>
    <t>2025-04-20</t>
  </si>
  <si>
    <t>2025-05-28</t>
  </si>
  <si>
    <t>2025-07-05</t>
  </si>
  <si>
    <t>2025-07-12</t>
  </si>
  <si>
    <t>2025-07-21</t>
  </si>
  <si>
    <t>2025-08-20</t>
  </si>
  <si>
    <t>2025-08-31</t>
  </si>
  <si>
    <t>2025-09-03</t>
  </si>
  <si>
    <t>2025-09-13</t>
  </si>
  <si>
    <t>2025-10-01</t>
  </si>
  <si>
    <t>2025-12-01</t>
  </si>
  <si>
    <t>2025-12-08</t>
  </si>
  <si>
    <t>2025-12-15</t>
  </si>
  <si>
    <t>2025-12-16</t>
  </si>
  <si>
    <t>2025-12-29</t>
  </si>
  <si>
    <t>2026-01-04</t>
  </si>
  <si>
    <t>2026-01-11</t>
  </si>
  <si>
    <t>2025-01-23</t>
  </si>
  <si>
    <t>2025-01-25</t>
  </si>
  <si>
    <t>2025-01-27</t>
  </si>
  <si>
    <t>2024-01-02</t>
  </si>
  <si>
    <t>2024-01-03</t>
  </si>
  <si>
    <t>2024-01-04</t>
  </si>
  <si>
    <t>2024-01-05</t>
  </si>
  <si>
    <t>2024-01-08</t>
  </si>
  <si>
    <t>2024-01-15</t>
  </si>
  <si>
    <t>2024-01-23</t>
  </si>
  <si>
    <t>2024-01-11</t>
  </si>
  <si>
    <t>2024-01-26</t>
  </si>
  <si>
    <t>2024-01-29</t>
  </si>
  <si>
    <t>2024-02-01</t>
  </si>
  <si>
    <t>2024-02-06</t>
  </si>
  <si>
    <t>2024-06-02</t>
  </si>
  <si>
    <t>2024-02-12</t>
  </si>
  <si>
    <t>2024-02-16</t>
  </si>
  <si>
    <t>2024-02-20</t>
  </si>
  <si>
    <t>2024-02-28</t>
  </si>
  <si>
    <t>2024-02-29</t>
  </si>
  <si>
    <t>2024-03-04</t>
  </si>
  <si>
    <t>2024-03-05</t>
  </si>
  <si>
    <t>2024-03-06</t>
  </si>
  <si>
    <t>2024-03-08</t>
  </si>
  <si>
    <t>2024-03-15</t>
  </si>
  <si>
    <t>2024-03-19</t>
  </si>
  <si>
    <t>2024-03-21</t>
  </si>
  <si>
    <t>2024-03-27</t>
  </si>
  <si>
    <t>2024-04-01</t>
  </si>
  <si>
    <t>2024-04-02</t>
  </si>
  <si>
    <t>2024-04-22</t>
  </si>
  <si>
    <t>2024-04-23</t>
  </si>
  <si>
    <t>2024-04-25</t>
  </si>
  <si>
    <t>2024-05-06</t>
  </si>
  <si>
    <t>2024-05-13</t>
  </si>
  <si>
    <t>2024-05-16</t>
  </si>
  <si>
    <t>2024-05-20</t>
  </si>
  <si>
    <t>2024-05-23</t>
  </si>
  <si>
    <t>2024-05-24</t>
  </si>
  <si>
    <t>2024-05-27</t>
  </si>
  <si>
    <t>2024-06-03</t>
  </si>
  <si>
    <t>2024-06-10</t>
  </si>
  <si>
    <t>2024-06-14</t>
  </si>
  <si>
    <t>2024-06-18</t>
  </si>
  <si>
    <t>2024-06-20</t>
  </si>
  <si>
    <t>2024-06-24</t>
  </si>
  <si>
    <t>2024-06-27</t>
  </si>
  <si>
    <t>2024-07-01</t>
  </si>
  <si>
    <t>2024-07-05</t>
  </si>
  <si>
    <t>2024-07-08</t>
  </si>
  <si>
    <t>2024-07-09</t>
  </si>
  <si>
    <t>2024-07-11</t>
  </si>
  <si>
    <t>2024-07-15</t>
  </si>
  <si>
    <t>2024-07-23</t>
  </si>
  <si>
    <t>2024-07-25</t>
  </si>
  <si>
    <t>2024-07-26</t>
  </si>
  <si>
    <t>2024-07-29</t>
  </si>
  <si>
    <t>2024-07-31</t>
  </si>
  <si>
    <t>2024-08-01</t>
  </si>
  <si>
    <t>2025-08-05</t>
  </si>
  <si>
    <t>2024-08-05</t>
  </si>
  <si>
    <t>2024-08-09</t>
  </si>
  <si>
    <t>2024-08-12</t>
  </si>
  <si>
    <t>2024-08-14</t>
  </si>
  <si>
    <t>2024-08-15</t>
  </si>
  <si>
    <t>2024-08-16</t>
  </si>
  <si>
    <t>2024-08-19</t>
  </si>
  <si>
    <t>2024-08-22</t>
  </si>
  <si>
    <t>2024-08-27</t>
  </si>
  <si>
    <t>2024-08-29</t>
  </si>
  <si>
    <t>2024-08-28</t>
  </si>
  <si>
    <t>2024-09-03</t>
  </si>
  <si>
    <t>2024-09-09</t>
  </si>
  <si>
    <t>2024-09-11</t>
  </si>
  <si>
    <t>2024-09-12</t>
  </si>
  <si>
    <t>2024-09-16</t>
  </si>
  <si>
    <t>2024-09-26</t>
  </si>
  <si>
    <t>2024-09-27</t>
  </si>
  <si>
    <t>2024-10-02</t>
  </si>
  <si>
    <t>2024-10-03</t>
  </si>
  <si>
    <t>2024-10-07</t>
  </si>
  <si>
    <t>2024-10-09</t>
  </si>
  <si>
    <t>2024-10-11</t>
  </si>
  <si>
    <t>2024-10-14</t>
  </si>
  <si>
    <t>2024-10-15</t>
  </si>
  <si>
    <t>2024-10-17</t>
  </si>
  <si>
    <t>2024-10-18</t>
  </si>
  <si>
    <t>2024-10-21</t>
  </si>
  <si>
    <t>2024-10-25</t>
  </si>
  <si>
    <t>2024-10-28</t>
  </si>
  <si>
    <t>2024-10-30</t>
  </si>
  <si>
    <t>2024-11-04</t>
  </si>
  <si>
    <t>2024-11-05</t>
  </si>
  <si>
    <t>2024-11-06</t>
  </si>
  <si>
    <t>2024-11-07</t>
  </si>
  <si>
    <t>2024-11-08</t>
  </si>
  <si>
    <t>2024-11-11</t>
  </si>
  <si>
    <t>2024-11-15</t>
  </si>
  <si>
    <t>2024-11-18</t>
  </si>
  <si>
    <t>2024-11-21</t>
  </si>
  <si>
    <t>2024-11-22</t>
  </si>
  <si>
    <t>2024-11-25</t>
  </si>
  <si>
    <t>2024-11-26</t>
  </si>
  <si>
    <t>2024-11-28</t>
  </si>
  <si>
    <t>2024-12-02</t>
  </si>
  <si>
    <t>2024-12-03</t>
  </si>
  <si>
    <t>2024-12-09</t>
  </si>
  <si>
    <t>2024-12-11</t>
  </si>
  <si>
    <t>2024-12-13</t>
  </si>
  <si>
    <t>2024-12-16</t>
  </si>
  <si>
    <t>2024-12-17</t>
  </si>
  <si>
    <t>2024-12-18</t>
  </si>
  <si>
    <t>2024-12-19</t>
  </si>
  <si>
    <t>2024-12-21</t>
  </si>
  <si>
    <t>2024-12-23</t>
  </si>
  <si>
    <t>2025-01-02</t>
  </si>
  <si>
    <t>2025-01-07</t>
  </si>
  <si>
    <t>2025-01-10</t>
  </si>
  <si>
    <t>2025-01-13</t>
  </si>
  <si>
    <t>2025-01-17</t>
  </si>
  <si>
    <t>2025-01-20</t>
  </si>
  <si>
    <t>2025-01-21</t>
  </si>
  <si>
    <t>2025-01-24</t>
  </si>
  <si>
    <t>2025-01-30</t>
  </si>
  <si>
    <t>2025-01-31</t>
  </si>
  <si>
    <t>2025-02-03</t>
  </si>
  <si>
    <t>2025-02-07</t>
  </si>
  <si>
    <t>2025-02-10</t>
  </si>
  <si>
    <t>2025-02-14</t>
  </si>
  <si>
    <t>2025-02-17</t>
  </si>
  <si>
    <t>2025-02-19</t>
  </si>
  <si>
    <t>2025-02-21</t>
  </si>
  <si>
    <t>2025-02-25</t>
  </si>
  <si>
    <t>2025-02-28</t>
  </si>
  <si>
    <t>2025-03-03</t>
  </si>
  <si>
    <t>2025-03-04</t>
  </si>
  <si>
    <t>2025-03-07</t>
  </si>
  <si>
    <t>2025-03-10</t>
  </si>
  <si>
    <t>2025-03-14</t>
  </si>
  <si>
    <t>2025-03-17</t>
  </si>
  <si>
    <t>2025-03-21</t>
  </si>
  <si>
    <t>2025-03-24</t>
  </si>
  <si>
    <t>2025-03-28</t>
  </si>
  <si>
    <t>2025-03-31</t>
  </si>
  <si>
    <t>2025-04-02</t>
  </si>
  <si>
    <t>2025-04-05</t>
  </si>
  <si>
    <t>2025-04-07</t>
  </si>
  <si>
    <t>2025-04-11</t>
  </si>
  <si>
    <t>2025-04-12</t>
  </si>
  <si>
    <t>2025-04-14</t>
  </si>
  <si>
    <t>2025-04-15</t>
  </si>
  <si>
    <t>2025-04-16</t>
  </si>
  <si>
    <t>2025-04-21</t>
  </si>
  <si>
    <t>2025-04-25</t>
  </si>
  <si>
    <t>2025-04-28</t>
  </si>
  <si>
    <t>2025-04-30</t>
  </si>
  <si>
    <t>2025-05-02</t>
  </si>
  <si>
    <t>2025-05-06</t>
  </si>
  <si>
    <t>2025-05-09</t>
  </si>
  <si>
    <t>2025-05-13</t>
  </si>
  <si>
    <t>2025-05-15</t>
  </si>
  <si>
    <t>2025-05-16</t>
  </si>
  <si>
    <t>2025-05-19</t>
  </si>
  <si>
    <t>2025-05-20</t>
  </si>
  <si>
    <t>2025-05-21</t>
  </si>
  <si>
    <t>2025-05-23</t>
  </si>
  <si>
    <t>2025-05-26</t>
  </si>
  <si>
    <t>2025-05-30</t>
  </si>
  <si>
    <t>2025-05-31</t>
  </si>
  <si>
    <t>2025-06-02</t>
  </si>
  <si>
    <t>2025-06-03</t>
  </si>
  <si>
    <t>2025-06-09</t>
  </si>
  <si>
    <t>2025-06-13</t>
  </si>
  <si>
    <t>2025-06-16</t>
  </si>
  <si>
    <t>2025-06-18</t>
  </si>
  <si>
    <t>2025-06-23</t>
  </si>
  <si>
    <t>2025-06-30</t>
  </si>
  <si>
    <t>2025-07-01</t>
  </si>
  <si>
    <t>2025-07-03</t>
  </si>
  <si>
    <t>2025-07-07</t>
  </si>
  <si>
    <t>2025-07-11</t>
  </si>
  <si>
    <t>2025-07-13</t>
  </si>
  <si>
    <t>2025-07-17</t>
  </si>
  <si>
    <t>2025-07-18</t>
  </si>
  <si>
    <t>2028-07-18</t>
  </si>
  <si>
    <t>2025-07-23</t>
  </si>
  <si>
    <t>2025-07-28</t>
  </si>
  <si>
    <t>2025-07-31</t>
  </si>
  <si>
    <t>2025-08-01</t>
  </si>
  <si>
    <t>2025-08-04</t>
  </si>
  <si>
    <t>2025-08-07</t>
  </si>
  <si>
    <t>2025-08-08</t>
  </si>
  <si>
    <t>2025-08-11</t>
  </si>
  <si>
    <t>2025-08-15</t>
  </si>
  <si>
    <t>2025-08-16</t>
  </si>
  <si>
    <t>2025-08-18</t>
  </si>
  <si>
    <t>2025-08-22</t>
  </si>
  <si>
    <t>2025-08-26</t>
  </si>
  <si>
    <t>2025-08-29</t>
  </si>
  <si>
    <t>2025-09-04</t>
  </si>
  <si>
    <t>2025-09-11</t>
  </si>
  <si>
    <t>2025-09-23</t>
  </si>
  <si>
    <t>2025-09-25</t>
  </si>
  <si>
    <t>2025-09-27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</si>
</sst>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5" formatCode="yyyy\-mm\-dd"/>
    <numFmt numFmtId="166" formatCode="0.00;[Red]0.00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0"/>
      <name val="Tahoma"/>
      <family val="2"/>
    </font>
    <font>
      <sz val="10"/>
      <name val="Tahoma"/>
      <family val="2"/>
    </font>
    <font>
      <b/>
      <sz val="10"/>
      <color rgb="FFFF0000"/>
      <name val="Tahoma"/>
      <family val="2"/>
    </font>
    <font>
      <sz val="10"/>
      <color theme="1"/>
      <name val="Tahoma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theme="4"/>
      </right>
      <top style="thin">
        <color theme="4"/>
      </top>
      <bottom/>
      <diagonal/>
    </border>
    <border>
      <left style="thin">
        <color theme="4"/>
      </left>
      <right style="thin">
        <color theme="4"/>
      </right>
      <top style="thin">
        <color theme="4"/>
      </top>
      <bottom/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/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/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2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/>
    </xf>
    <xf numFmtId="49" fontId="3" fillId="4" borderId="5" xfId="0" applyNumberFormat="1" applyFont="1" applyFill="1" applyBorder="1" applyAlignment="1">
      <alignment horizontal="center" vertical="center"/>
    </xf>
    <xf numFmtId="49" fontId="4" fillId="5" borderId="5" xfId="0" applyNumberFormat="1" applyFont="1" applyFill="1" applyBorder="1" applyAlignment="1">
      <alignment horizontal="center" vertical="center"/>
    </xf>
    <xf numFmtId="49" fontId="3" fillId="4" borderId="5" xfId="0" applyNumberFormat="1" applyFont="1" applyFill="1" applyBorder="1" applyAlignment="1">
      <alignment horizontal="left" vertical="center" wrapText="1" indent="1"/>
    </xf>
    <xf numFmtId="49" fontId="4" fillId="5" borderId="6" xfId="0" applyNumberFormat="1" applyFont="1" applyFill="1" applyBorder="1" applyAlignment="1">
      <alignment horizontal="center" vertical="center"/>
    </xf>
    <xf numFmtId="49" fontId="3" fillId="4" borderId="6" xfId="0" applyNumberFormat="1" applyFont="1" applyFill="1" applyBorder="1" applyAlignment="1">
      <alignment horizontal="left" vertical="center" wrapText="1" indent="1"/>
    </xf>
    <xf numFmtId="0" fontId="4" fillId="5" borderId="7" xfId="0" applyFont="1" applyFill="1" applyBorder="1" applyAlignment="1">
      <alignment horizontal="center"/>
    </xf>
    <xf numFmtId="0" fontId="5" fillId="0" borderId="7" xfId="0" applyFont="1" applyBorder="1" applyAlignment="1">
      <alignment horizontal="left" indent="1"/>
    </xf>
    <xf numFmtId="49" fontId="4" fillId="5" borderId="0" xfId="0" applyNumberFormat="1" applyFont="1" applyFill="1" applyAlignment="1">
      <alignment horizontal="center" vertical="center"/>
    </xf>
    <xf numFmtId="49" fontId="3" fillId="4" borderId="0" xfId="0" applyNumberFormat="1" applyFont="1" applyFill="1" applyAlignment="1">
      <alignment horizontal="left" vertical="center" wrapText="1" indent="1"/>
    </xf>
    <xf numFmtId="165" fontId="2" fillId="2" borderId="2" xfId="0" applyNumberFormat="1" applyFont="1" applyFill="1" applyBorder="1" applyAlignment="1">
      <alignment horizontal="center" vertical="center" wrapText="1"/>
    </xf>
    <xf numFmtId="165" fontId="3" fillId="5" borderId="5" xfId="0" applyNumberFormat="1" applyFont="1" applyFill="1" applyBorder="1" applyAlignment="1">
      <alignment horizontal="center" vertical="center"/>
    </xf>
    <xf numFmtId="165" fontId="3" fillId="5" borderId="6" xfId="0" applyNumberFormat="1" applyFont="1" applyFill="1" applyBorder="1" applyAlignment="1">
      <alignment horizontal="center" vertical="center"/>
    </xf>
    <xf numFmtId="165" fontId="3" fillId="5" borderId="7" xfId="0" applyNumberFormat="1" applyFont="1" applyFill="1" applyBorder="1" applyAlignment="1">
      <alignment horizontal="center" vertical="center"/>
    </xf>
    <xf numFmtId="165" fontId="3" fillId="5" borderId="0" xfId="0" applyNumberFormat="1" applyFont="1" applyFill="1" applyAlignment="1">
      <alignment horizontal="center" vertical="center"/>
    </xf>
    <xf numFmtId="165" fontId="0" fillId="0" borderId="0" xfId="0" applyNumberFormat="1"/>
    <xf numFmtId="166" fontId="2" fillId="3" borderId="3" xfId="0" applyNumberFormat="1" applyFont="1" applyFill="1" applyBorder="1" applyAlignment="1">
      <alignment horizontal="center" vertical="center"/>
    </xf>
    <xf numFmtId="166" fontId="2" fillId="3" borderId="4" xfId="0" applyNumberFormat="1" applyFont="1" applyFill="1" applyBorder="1" applyAlignment="1">
      <alignment horizontal="center" vertical="center" wrapText="1"/>
    </xf>
    <xf numFmtId="166" fontId="3" fillId="5" borderId="5" xfId="1" applyNumberFormat="1" applyFont="1" applyFill="1" applyBorder="1" applyAlignment="1">
      <alignment vertical="center"/>
    </xf>
    <xf numFmtId="166" fontId="3" fillId="4" borderId="5" xfId="1" applyNumberFormat="1" applyFont="1" applyFill="1" applyBorder="1" applyAlignment="1">
      <alignment vertical="center"/>
    </xf>
    <xf numFmtId="166" fontId="3" fillId="5" borderId="6" xfId="1" applyNumberFormat="1" applyFont="1" applyFill="1" applyBorder="1" applyAlignment="1">
      <alignment vertical="center"/>
    </xf>
    <xf numFmtId="166" fontId="5" fillId="5" borderId="7" xfId="1" applyNumberFormat="1" applyFont="1" applyFill="1" applyBorder="1" applyAlignment="1"/>
    <xf numFmtId="166" fontId="3" fillId="4" borderId="8" xfId="1" applyNumberFormat="1" applyFont="1" applyFill="1" applyBorder="1" applyAlignment="1">
      <alignment vertical="center"/>
    </xf>
    <xf numFmtId="166" fontId="3" fillId="5" borderId="0" xfId="1" applyNumberFormat="1" applyFont="1" applyFill="1" applyBorder="1" applyAlignment="1">
      <alignment vertical="center"/>
    </xf>
    <xf numFmtId="166" fontId="0" fillId="0" borderId="0" xfId="0" applyNumberFormat="1"/>
    <xf numFmtId="22" fontId="3" fillId="5" borderId="6" xfId="0" applyNumberFormat="1" applyFont="1" applyFill="1" applyBorder="1" applyAlignment="1">
      <alignment horizontal="center" vertical="center"/>
    </xf>
    <xf numFmtId="49" fontId="3" fillId="4" borderId="6" xfId="0" applyNumberFormat="1" applyFont="1" applyFill="1" applyBorder="1" applyAlignment="1">
      <alignment horizontal="center" vertical="center"/>
    </xf>
    <xf numFmtId="49" fontId="3" fillId="4" borderId="0" xfId="0" applyNumberFormat="1" applyFont="1" applyFill="1" applyBorder="1" applyAlignment="1">
      <alignment horizontal="center" vertical="center"/>
    </xf>
    <xf numFmtId="14" fontId="3" fillId="4" borderId="0" xfId="0" applyNumberFormat="1" applyFont="1" applyFill="1" applyBorder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3400</xdr:colOff>
      <xdr:row>0</xdr:row>
      <xdr:rowOff>0</xdr:rowOff>
    </xdr:from>
    <xdr:to>
      <xdr:col>6</xdr:col>
      <xdr:colOff>116339</xdr:colOff>
      <xdr:row>0</xdr:row>
      <xdr:rowOff>446374</xdr:rowOff>
    </xdr:to>
    <xdr:sp macro="" textlink="">
      <xdr:nvSpPr>
        <xdr:cNvPr id="2" name="Right Triangle 1">
          <a:extLst>
            <a:ext uri="{FF2B5EF4-FFF2-40B4-BE49-F238E27FC236}">
              <a16:creationId xmlns:a16="http://schemas.microsoft.com/office/drawing/2014/main" id="{73E61F31-2BD1-44E7-B0D5-4DEEC2ACFD91}"/>
            </a:ext>
          </a:extLst>
        </xdr:cNvPr>
        <xdr:cNvSpPr/>
      </xdr:nvSpPr>
      <xdr:spPr>
        <a:xfrm>
          <a:off x="4750660" y="1844040"/>
          <a:ext cx="112939" cy="189199"/>
        </a:xfrm>
        <a:prstGeom prst="rtTriangle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FC60CA-5B0D-4AEF-9F13-14EF1E098485}">
  <dimension ref="A1:I270"/>
  <sheetViews>
    <sheetView tabSelected="1" workbookViewId="0">
      <selection activeCell="C1" sqref="C1:C1048576"/>
    </sheetView>
  </sheetViews>
  <sheetFormatPr defaultRowHeight="15" x14ac:dyDescent="0.25"/>
  <cols>
    <col min="2" max="2" width="41.85546875" customWidth="1"/>
    <col min="3" max="3" width="46.7109375" customWidth="1"/>
    <col min="4" max="4" width="26.140625" customWidth="1"/>
    <col min="5" max="5" width="28.85546875" style="18" customWidth="1"/>
    <col min="6" max="6" width="24.140625" customWidth="1"/>
    <col min="7" max="7" width="24.140625" style="27" customWidth="1"/>
    <col min="8" max="8" width="21.7109375" style="27" customWidth="1"/>
    <col min="9" max="9" width="23.5703125" style="27" customWidth="1"/>
  </cols>
  <sheetData>
    <row r="1" spans="1:9" x14ac:dyDescent="0.25">
      <c r="A1" t="s">
        <v>160</v>
      </c>
      <c r="B1" t="s">
        <v>168</v>
      </c>
      <c r="C1" s="1" t="s">
        <v>167</v>
      </c>
      <c r="D1" s="2" t="s">
        <v>161</v>
      </c>
      <c r="E1" s="13" t="s">
        <v>162</v>
      </c>
      <c r="F1" s="3" t="s">
        <v>163</v>
      </c>
      <c r="G1" s="19" t="s">
        <v>164</v>
      </c>
      <c r="H1" s="20" t="s">
        <v>165</v>
      </c>
      <c r="I1" s="20" t="s">
        <v>166</v>
      </c>
    </row>
    <row r="2" spans="1:9" x14ac:dyDescent="0.25">
      <c r="B2">
        <v>1</v>
      </c>
      <c r="C2" s="4" t="s">
        <v>215</v>
      </c>
      <c r="D2" s="5"/>
      <c r="E2" s="14"/>
      <c r="F2" s="6" t="s">
        <v>0</v>
      </c>
      <c r="G2" s="21">
        <v>4808295.9400000004</v>
      </c>
      <c r="H2" s="22"/>
      <c r="I2" s="21">
        <f>G2</f>
        <v>4808295.9400000004</v>
      </c>
    </row>
    <row r="3" spans="1:9" x14ac:dyDescent="0.25">
      <c r="B3">
        <v>1</v>
      </c>
      <c r="C3" s="29" t="s">
        <v>215</v>
      </c>
      <c r="D3" s="7" t="s">
        <v>1</v>
      </c>
      <c r="E3" s="15"/>
      <c r="F3" s="8" t="s">
        <v>2</v>
      </c>
      <c r="G3" s="23"/>
      <c r="H3" s="22">
        <v>73803.740000000005</v>
      </c>
      <c r="I3" s="21">
        <f>I2+G3-H3</f>
        <v>4734492.2</v>
      </c>
    </row>
    <row r="4" spans="1:9" x14ac:dyDescent="0.25">
      <c r="B4">
        <v>1</v>
      </c>
      <c r="C4" s="29" t="s">
        <v>216</v>
      </c>
      <c r="D4" s="7" t="s">
        <v>3</v>
      </c>
      <c r="E4" s="15"/>
      <c r="F4" s="8" t="s">
        <v>2</v>
      </c>
      <c r="G4" s="23"/>
      <c r="H4" s="22">
        <v>23000</v>
      </c>
      <c r="I4" s="21">
        <f t="shared" ref="I4:I67" si="0">I3+G4-H4</f>
        <v>4711492.2</v>
      </c>
    </row>
    <row r="5" spans="1:9" x14ac:dyDescent="0.25">
      <c r="B5">
        <v>1</v>
      </c>
      <c r="C5" s="29" t="s">
        <v>217</v>
      </c>
      <c r="D5" s="7" t="s">
        <v>4</v>
      </c>
      <c r="E5" s="15"/>
      <c r="F5" s="8" t="s">
        <v>2</v>
      </c>
      <c r="G5" s="23"/>
      <c r="H5" s="22">
        <v>38000</v>
      </c>
      <c r="I5" s="21">
        <f t="shared" si="0"/>
        <v>4673492.2</v>
      </c>
    </row>
    <row r="6" spans="1:9" x14ac:dyDescent="0.25">
      <c r="B6">
        <v>1</v>
      </c>
      <c r="C6" s="29" t="s">
        <v>218</v>
      </c>
      <c r="D6" s="7" t="s">
        <v>5</v>
      </c>
      <c r="E6" s="15"/>
      <c r="F6" s="8" t="s">
        <v>2</v>
      </c>
      <c r="G6" s="23"/>
      <c r="H6" s="22">
        <v>73803.740000000005</v>
      </c>
      <c r="I6" s="21">
        <f t="shared" si="0"/>
        <v>4599688.46</v>
      </c>
    </row>
    <row r="7" spans="1:9" x14ac:dyDescent="0.25">
      <c r="B7">
        <v>1</v>
      </c>
      <c r="C7" s="29" t="s">
        <v>219</v>
      </c>
      <c r="D7" s="7" t="s">
        <v>6</v>
      </c>
      <c r="E7" s="15"/>
      <c r="F7" s="8" t="s">
        <v>2</v>
      </c>
      <c r="G7" s="23"/>
      <c r="H7" s="22">
        <v>39000</v>
      </c>
      <c r="I7" s="21">
        <f t="shared" si="0"/>
        <v>4560688.46</v>
      </c>
    </row>
    <row r="8" spans="1:9" x14ac:dyDescent="0.25">
      <c r="B8">
        <v>1</v>
      </c>
      <c r="C8" s="29" t="s">
        <v>220</v>
      </c>
      <c r="D8" s="7" t="s">
        <v>7</v>
      </c>
      <c r="E8" s="15"/>
      <c r="F8" s="8" t="s">
        <v>2</v>
      </c>
      <c r="G8" s="23"/>
      <c r="H8" s="22">
        <v>100000</v>
      </c>
      <c r="I8" s="21">
        <f t="shared" si="0"/>
        <v>4460688.46</v>
      </c>
    </row>
    <row r="9" spans="1:9" x14ac:dyDescent="0.25">
      <c r="B9">
        <v>1</v>
      </c>
      <c r="C9" s="29" t="s">
        <v>221</v>
      </c>
      <c r="D9" s="7" t="s">
        <v>8</v>
      </c>
      <c r="E9" s="15"/>
      <c r="F9" s="8" t="s">
        <v>2</v>
      </c>
      <c r="G9" s="23"/>
      <c r="H9" s="22">
        <v>50000</v>
      </c>
      <c r="I9" s="21">
        <f t="shared" si="0"/>
        <v>4410688.46</v>
      </c>
    </row>
    <row r="10" spans="1:9" x14ac:dyDescent="0.25">
      <c r="B10">
        <v>1</v>
      </c>
      <c r="C10" s="29" t="s">
        <v>222</v>
      </c>
      <c r="D10" s="7" t="s">
        <v>9</v>
      </c>
      <c r="E10" s="28" t="s">
        <v>169</v>
      </c>
      <c r="F10" s="8" t="s">
        <v>10</v>
      </c>
      <c r="G10" s="23">
        <v>19951.2</v>
      </c>
      <c r="H10" s="22"/>
      <c r="I10" s="21">
        <f t="shared" si="0"/>
        <v>4430639.66</v>
      </c>
    </row>
    <row r="11" spans="1:9" x14ac:dyDescent="0.25">
      <c r="B11">
        <v>1</v>
      </c>
      <c r="C11" s="29" t="s">
        <v>223</v>
      </c>
      <c r="D11" s="7" t="s">
        <v>11</v>
      </c>
      <c r="E11" s="15" t="s">
        <v>170</v>
      </c>
      <c r="F11" s="8" t="s">
        <v>12</v>
      </c>
      <c r="G11" s="23">
        <v>102651.75</v>
      </c>
      <c r="H11" s="22"/>
      <c r="I11" s="21">
        <f t="shared" si="0"/>
        <v>4533291.41</v>
      </c>
    </row>
    <row r="12" spans="1:9" x14ac:dyDescent="0.25">
      <c r="B12">
        <v>1</v>
      </c>
      <c r="C12" s="30" t="s">
        <v>223</v>
      </c>
      <c r="D12" s="9" t="s">
        <v>13</v>
      </c>
      <c r="E12" s="16" t="s">
        <v>170</v>
      </c>
      <c r="F12" s="10" t="s">
        <v>12</v>
      </c>
      <c r="G12" s="24">
        <v>28042.2</v>
      </c>
      <c r="H12" s="25"/>
      <c r="I12" s="21">
        <f t="shared" si="0"/>
        <v>4561333.6100000003</v>
      </c>
    </row>
    <row r="13" spans="1:9" x14ac:dyDescent="0.25">
      <c r="B13">
        <v>1</v>
      </c>
      <c r="C13" s="30" t="s">
        <v>224</v>
      </c>
      <c r="D13" s="9" t="s">
        <v>14</v>
      </c>
      <c r="E13" s="16" t="s">
        <v>171</v>
      </c>
      <c r="F13" s="10" t="s">
        <v>12</v>
      </c>
      <c r="G13" s="24">
        <v>20563.2</v>
      </c>
      <c r="H13" s="25"/>
      <c r="I13" s="21">
        <f t="shared" si="0"/>
        <v>4581896.8100000005</v>
      </c>
    </row>
    <row r="14" spans="1:9" x14ac:dyDescent="0.25">
      <c r="B14">
        <v>1</v>
      </c>
      <c r="C14" s="30" t="s">
        <v>224</v>
      </c>
      <c r="D14" s="9">
        <v>1007</v>
      </c>
      <c r="E14" s="16"/>
      <c r="F14" s="10" t="s">
        <v>2</v>
      </c>
      <c r="G14" s="24"/>
      <c r="H14" s="25">
        <v>50000</v>
      </c>
      <c r="I14" s="21">
        <f t="shared" si="0"/>
        <v>4531896.8100000005</v>
      </c>
    </row>
    <row r="15" spans="1:9" x14ac:dyDescent="0.25">
      <c r="B15">
        <v>1</v>
      </c>
      <c r="C15" s="30" t="s">
        <v>225</v>
      </c>
      <c r="D15" s="11" t="s">
        <v>15</v>
      </c>
      <c r="E15" s="17"/>
      <c r="F15" s="12" t="s">
        <v>2</v>
      </c>
      <c r="G15" s="26"/>
      <c r="H15" s="22">
        <v>50000</v>
      </c>
      <c r="I15" s="21">
        <f t="shared" si="0"/>
        <v>4481896.8100000005</v>
      </c>
    </row>
    <row r="16" spans="1:9" x14ac:dyDescent="0.25">
      <c r="B16">
        <v>1</v>
      </c>
      <c r="C16" s="30" t="s">
        <v>226</v>
      </c>
      <c r="D16" s="9" t="s">
        <v>16</v>
      </c>
      <c r="E16" s="16" t="s">
        <v>172</v>
      </c>
      <c r="F16" s="10" t="s">
        <v>12</v>
      </c>
      <c r="G16" s="24">
        <v>40239.08</v>
      </c>
      <c r="H16" s="22"/>
      <c r="I16" s="21">
        <f t="shared" si="0"/>
        <v>4522135.8900000006</v>
      </c>
    </row>
    <row r="17" spans="2:9" x14ac:dyDescent="0.25">
      <c r="B17">
        <v>1</v>
      </c>
      <c r="C17" s="31" t="s">
        <v>227</v>
      </c>
      <c r="D17" s="9" t="s">
        <v>17</v>
      </c>
      <c r="E17" s="16" t="s">
        <v>172</v>
      </c>
      <c r="F17" s="10" t="s">
        <v>12</v>
      </c>
      <c r="G17" s="24">
        <v>148896</v>
      </c>
      <c r="H17" s="22"/>
      <c r="I17" s="21">
        <f t="shared" si="0"/>
        <v>4671031.8900000006</v>
      </c>
    </row>
    <row r="18" spans="2:9" x14ac:dyDescent="0.25">
      <c r="B18">
        <v>1</v>
      </c>
      <c r="C18" s="30" t="s">
        <v>228</v>
      </c>
      <c r="D18" s="9">
        <v>1031</v>
      </c>
      <c r="E18" s="16"/>
      <c r="F18" s="10" t="s">
        <v>2</v>
      </c>
      <c r="G18" s="24"/>
      <c r="H18" s="25">
        <v>30000</v>
      </c>
      <c r="I18" s="21">
        <f t="shared" si="0"/>
        <v>4641031.8900000006</v>
      </c>
    </row>
    <row r="19" spans="2:9" x14ac:dyDescent="0.25">
      <c r="B19">
        <v>1</v>
      </c>
      <c r="C19" s="30" t="s">
        <v>229</v>
      </c>
      <c r="D19" s="9">
        <v>1035</v>
      </c>
      <c r="E19" s="16"/>
      <c r="F19" s="10" t="s">
        <v>2</v>
      </c>
      <c r="G19" s="24"/>
      <c r="H19" s="25">
        <v>30000</v>
      </c>
      <c r="I19" s="21">
        <f t="shared" si="0"/>
        <v>4611031.8900000006</v>
      </c>
    </row>
    <row r="20" spans="2:9" x14ac:dyDescent="0.25">
      <c r="B20">
        <v>1</v>
      </c>
      <c r="C20" s="30" t="s">
        <v>230</v>
      </c>
      <c r="D20" s="9">
        <v>1038</v>
      </c>
      <c r="E20" s="16"/>
      <c r="F20" s="10" t="s">
        <v>2</v>
      </c>
      <c r="G20" s="24"/>
      <c r="H20" s="25">
        <v>35000</v>
      </c>
      <c r="I20" s="21">
        <f t="shared" si="0"/>
        <v>4576031.8900000006</v>
      </c>
    </row>
    <row r="21" spans="2:9" x14ac:dyDescent="0.25">
      <c r="B21">
        <v>1</v>
      </c>
      <c r="C21" s="31" t="s">
        <v>231</v>
      </c>
      <c r="D21" s="9">
        <v>1048</v>
      </c>
      <c r="E21" s="16"/>
      <c r="F21" s="10" t="s">
        <v>2</v>
      </c>
      <c r="G21" s="24"/>
      <c r="H21" s="25">
        <v>50000</v>
      </c>
      <c r="I21" s="21">
        <f t="shared" si="0"/>
        <v>4526031.8900000006</v>
      </c>
    </row>
    <row r="22" spans="2:9" x14ac:dyDescent="0.25">
      <c r="B22">
        <v>1</v>
      </c>
      <c r="C22" s="30" t="s">
        <v>232</v>
      </c>
      <c r="D22" s="9">
        <v>1049</v>
      </c>
      <c r="E22" s="16"/>
      <c r="F22" s="10" t="s">
        <v>2</v>
      </c>
      <c r="G22" s="24"/>
      <c r="H22" s="25">
        <v>50000</v>
      </c>
      <c r="I22" s="21">
        <f t="shared" si="0"/>
        <v>4476031.8900000006</v>
      </c>
    </row>
    <row r="23" spans="2:9" x14ac:dyDescent="0.25">
      <c r="B23">
        <v>1</v>
      </c>
      <c r="C23" s="30" t="s">
        <v>233</v>
      </c>
      <c r="D23" s="9" t="s">
        <v>18</v>
      </c>
      <c r="E23" s="16" t="s">
        <v>173</v>
      </c>
      <c r="F23" s="10" t="s">
        <v>12</v>
      </c>
      <c r="G23" s="24">
        <f>516025.8-28584-29116.8-27410.4</f>
        <v>430914.6</v>
      </c>
      <c r="H23" s="22"/>
      <c r="I23" s="21">
        <f t="shared" si="0"/>
        <v>4906946.49</v>
      </c>
    </row>
    <row r="24" spans="2:9" x14ac:dyDescent="0.25">
      <c r="B24">
        <v>1</v>
      </c>
      <c r="C24" s="29" t="s">
        <v>233</v>
      </c>
      <c r="D24" s="7" t="s">
        <v>19</v>
      </c>
      <c r="E24" s="15" t="s">
        <v>173</v>
      </c>
      <c r="F24" s="8" t="s">
        <v>10</v>
      </c>
      <c r="G24" s="23">
        <v>59040</v>
      </c>
      <c r="H24" s="22"/>
      <c r="I24" s="21">
        <f t="shared" si="0"/>
        <v>4965986.49</v>
      </c>
    </row>
    <row r="25" spans="2:9" x14ac:dyDescent="0.25">
      <c r="B25">
        <v>1</v>
      </c>
      <c r="C25" s="30" t="s">
        <v>233</v>
      </c>
      <c r="D25" s="9" t="s">
        <v>20</v>
      </c>
      <c r="E25" s="16" t="s">
        <v>173</v>
      </c>
      <c r="F25" s="10" t="s">
        <v>10</v>
      </c>
      <c r="G25" s="24">
        <v>31680</v>
      </c>
      <c r="H25" s="25"/>
      <c r="I25" s="21">
        <f t="shared" si="0"/>
        <v>4997666.49</v>
      </c>
    </row>
    <row r="26" spans="2:9" x14ac:dyDescent="0.25">
      <c r="B26">
        <v>1</v>
      </c>
      <c r="C26" s="30" t="s">
        <v>234</v>
      </c>
      <c r="D26" s="9" t="s">
        <v>21</v>
      </c>
      <c r="E26" s="16" t="s">
        <v>174</v>
      </c>
      <c r="F26" s="10" t="s">
        <v>10</v>
      </c>
      <c r="G26" s="24">
        <v>82656</v>
      </c>
      <c r="H26" s="25"/>
      <c r="I26" s="21">
        <f t="shared" si="0"/>
        <v>5080322.49</v>
      </c>
    </row>
    <row r="27" spans="2:9" x14ac:dyDescent="0.25">
      <c r="B27">
        <v>1</v>
      </c>
      <c r="C27" s="30" t="s">
        <v>235</v>
      </c>
      <c r="D27" s="9">
        <v>1058</v>
      </c>
      <c r="E27" s="16" t="s">
        <v>175</v>
      </c>
      <c r="F27" s="10" t="s">
        <v>2</v>
      </c>
      <c r="G27" s="24"/>
      <c r="H27" s="25">
        <v>50000</v>
      </c>
      <c r="I27" s="21">
        <f t="shared" si="0"/>
        <v>5030322.49</v>
      </c>
    </row>
    <row r="28" spans="2:9" x14ac:dyDescent="0.25">
      <c r="B28">
        <v>1</v>
      </c>
      <c r="C28" s="30" t="s">
        <v>236</v>
      </c>
      <c r="D28" s="9" t="s">
        <v>22</v>
      </c>
      <c r="E28" s="16" t="s">
        <v>176</v>
      </c>
      <c r="F28" s="10" t="s">
        <v>12</v>
      </c>
      <c r="G28" s="24">
        <v>62000</v>
      </c>
      <c r="H28" s="25"/>
      <c r="I28" s="21">
        <f t="shared" si="0"/>
        <v>5092322.49</v>
      </c>
    </row>
    <row r="29" spans="2:9" x14ac:dyDescent="0.25">
      <c r="B29">
        <v>1</v>
      </c>
      <c r="C29" s="30" t="s">
        <v>237</v>
      </c>
      <c r="D29" s="9">
        <v>1062</v>
      </c>
      <c r="E29" s="16"/>
      <c r="F29" s="10" t="s">
        <v>2</v>
      </c>
      <c r="G29" s="24"/>
      <c r="H29" s="25">
        <v>45000</v>
      </c>
      <c r="I29" s="21">
        <f t="shared" si="0"/>
        <v>5047322.49</v>
      </c>
    </row>
    <row r="30" spans="2:9" x14ac:dyDescent="0.25">
      <c r="B30">
        <v>1</v>
      </c>
      <c r="C30" s="31" t="s">
        <v>238</v>
      </c>
      <c r="D30" s="9" t="s">
        <v>23</v>
      </c>
      <c r="E30" s="16" t="s">
        <v>177</v>
      </c>
      <c r="F30" s="10" t="s">
        <v>10</v>
      </c>
      <c r="G30" s="24">
        <v>91468.800000000003</v>
      </c>
      <c r="H30" s="25"/>
      <c r="I30" s="21">
        <f t="shared" si="0"/>
        <v>5138791.29</v>
      </c>
    </row>
    <row r="31" spans="2:9" x14ac:dyDescent="0.25">
      <c r="B31">
        <v>1</v>
      </c>
      <c r="C31" s="30" t="s">
        <v>239</v>
      </c>
      <c r="D31" s="9">
        <v>1069</v>
      </c>
      <c r="E31" s="16"/>
      <c r="F31" s="10" t="s">
        <v>2</v>
      </c>
      <c r="G31" s="24"/>
      <c r="H31" s="25">
        <v>30000</v>
      </c>
      <c r="I31" s="21">
        <f t="shared" si="0"/>
        <v>5108791.29</v>
      </c>
    </row>
    <row r="32" spans="2:9" x14ac:dyDescent="0.25">
      <c r="B32">
        <v>1</v>
      </c>
      <c r="C32" s="30" t="s">
        <v>240</v>
      </c>
      <c r="D32" s="9">
        <v>1073</v>
      </c>
      <c r="E32" s="16"/>
      <c r="F32" s="10" t="s">
        <v>2</v>
      </c>
      <c r="G32" s="24"/>
      <c r="H32" s="25">
        <v>50000</v>
      </c>
      <c r="I32" s="21">
        <f t="shared" si="0"/>
        <v>5058791.29</v>
      </c>
    </row>
    <row r="33" spans="2:9" x14ac:dyDescent="0.25">
      <c r="B33">
        <v>1</v>
      </c>
      <c r="C33" s="29" t="s">
        <v>241</v>
      </c>
      <c r="D33" s="7" t="s">
        <v>24</v>
      </c>
      <c r="E33" s="15" t="s">
        <v>178</v>
      </c>
      <c r="F33" s="8" t="s">
        <v>25</v>
      </c>
      <c r="G33" s="23">
        <f>228535.2-28584-29116.8-27410.4</f>
        <v>143424.00000000003</v>
      </c>
      <c r="H33" s="22"/>
      <c r="I33" s="21">
        <f t="shared" si="0"/>
        <v>5202215.29</v>
      </c>
    </row>
    <row r="34" spans="2:9" x14ac:dyDescent="0.25">
      <c r="B34">
        <v>1</v>
      </c>
      <c r="C34" s="30" t="s">
        <v>242</v>
      </c>
      <c r="D34" s="11" t="s">
        <v>26</v>
      </c>
      <c r="E34" s="17"/>
      <c r="F34" s="12" t="s">
        <v>2</v>
      </c>
      <c r="G34" s="26"/>
      <c r="H34" s="25">
        <v>40000</v>
      </c>
      <c r="I34" s="21">
        <f t="shared" si="0"/>
        <v>5162215.29</v>
      </c>
    </row>
    <row r="35" spans="2:9" x14ac:dyDescent="0.25">
      <c r="B35">
        <v>1</v>
      </c>
      <c r="C35" s="30" t="s">
        <v>243</v>
      </c>
      <c r="D35" s="9" t="s">
        <v>27</v>
      </c>
      <c r="E35" s="16" t="s">
        <v>179</v>
      </c>
      <c r="F35" s="10" t="s">
        <v>28</v>
      </c>
      <c r="G35" s="24">
        <v>77177.899999999994</v>
      </c>
      <c r="H35" s="25"/>
      <c r="I35" s="21">
        <f t="shared" si="0"/>
        <v>5239393.1900000004</v>
      </c>
    </row>
    <row r="36" spans="2:9" x14ac:dyDescent="0.25">
      <c r="B36">
        <v>1</v>
      </c>
      <c r="C36" s="30" t="s">
        <v>243</v>
      </c>
      <c r="D36" s="9" t="s">
        <v>29</v>
      </c>
      <c r="E36" s="16" t="s">
        <v>179</v>
      </c>
      <c r="F36" s="10" t="s">
        <v>25</v>
      </c>
      <c r="G36" s="24">
        <f>106790.4-42271.2</f>
        <v>64519.199999999997</v>
      </c>
      <c r="H36" s="25"/>
      <c r="I36" s="21">
        <f t="shared" si="0"/>
        <v>5303912.3900000006</v>
      </c>
    </row>
    <row r="37" spans="2:9" x14ac:dyDescent="0.25">
      <c r="B37">
        <v>1</v>
      </c>
      <c r="C37" s="30" t="s">
        <v>244</v>
      </c>
      <c r="D37" s="9">
        <v>1098</v>
      </c>
      <c r="E37" s="16"/>
      <c r="F37" s="10" t="s">
        <v>2</v>
      </c>
      <c r="G37" s="24"/>
      <c r="H37" s="25">
        <v>55000</v>
      </c>
      <c r="I37" s="21">
        <f t="shared" si="0"/>
        <v>5248912.3900000006</v>
      </c>
    </row>
    <row r="38" spans="2:9" x14ac:dyDescent="0.25">
      <c r="B38">
        <v>1</v>
      </c>
      <c r="C38" s="31" t="s">
        <v>245</v>
      </c>
      <c r="D38" s="9">
        <v>1100</v>
      </c>
      <c r="E38" s="16"/>
      <c r="F38" s="10" t="s">
        <v>2</v>
      </c>
      <c r="G38" s="24"/>
      <c r="H38" s="25">
        <v>50000</v>
      </c>
      <c r="I38" s="21">
        <f t="shared" si="0"/>
        <v>5198912.3900000006</v>
      </c>
    </row>
    <row r="39" spans="2:9" x14ac:dyDescent="0.25">
      <c r="B39">
        <v>1</v>
      </c>
      <c r="C39" s="4" t="s">
        <v>246</v>
      </c>
      <c r="D39" s="5" t="s">
        <v>30</v>
      </c>
      <c r="E39" s="14"/>
      <c r="F39" s="6" t="s">
        <v>2</v>
      </c>
      <c r="G39" s="21"/>
      <c r="H39" s="22">
        <v>80000</v>
      </c>
      <c r="I39" s="21">
        <f t="shared" si="0"/>
        <v>5118912.3900000006</v>
      </c>
    </row>
    <row r="40" spans="2:9" x14ac:dyDescent="0.25">
      <c r="B40">
        <v>1</v>
      </c>
      <c r="C40" s="4" t="s">
        <v>247</v>
      </c>
      <c r="D40" s="5" t="s">
        <v>31</v>
      </c>
      <c r="E40" s="14"/>
      <c r="F40" s="6" t="s">
        <v>2</v>
      </c>
      <c r="G40" s="21"/>
      <c r="H40" s="22">
        <v>80000</v>
      </c>
      <c r="I40" s="21">
        <f t="shared" si="0"/>
        <v>5038912.3900000006</v>
      </c>
    </row>
    <row r="41" spans="2:9" x14ac:dyDescent="0.25">
      <c r="B41">
        <v>1</v>
      </c>
      <c r="C41" s="4" t="s">
        <v>248</v>
      </c>
      <c r="D41" s="5" t="s">
        <v>32</v>
      </c>
      <c r="E41" s="14"/>
      <c r="F41" s="6" t="s">
        <v>2</v>
      </c>
      <c r="G41" s="21"/>
      <c r="H41" s="22">
        <v>30000</v>
      </c>
      <c r="I41" s="21">
        <f t="shared" si="0"/>
        <v>5008912.3900000006</v>
      </c>
    </row>
    <row r="42" spans="2:9" x14ac:dyDescent="0.25">
      <c r="B42">
        <v>1</v>
      </c>
      <c r="C42" s="4" t="s">
        <v>249</v>
      </c>
      <c r="D42" s="5" t="s">
        <v>33</v>
      </c>
      <c r="E42" s="14"/>
      <c r="F42" s="6" t="s">
        <v>2</v>
      </c>
      <c r="G42" s="21"/>
      <c r="H42" s="22">
        <v>80000</v>
      </c>
      <c r="I42" s="21">
        <f t="shared" si="0"/>
        <v>4928912.3900000006</v>
      </c>
    </row>
    <row r="43" spans="2:9" x14ac:dyDescent="0.25">
      <c r="B43">
        <v>1</v>
      </c>
      <c r="C43" s="4" t="s">
        <v>250</v>
      </c>
      <c r="D43" s="5" t="s">
        <v>34</v>
      </c>
      <c r="E43" s="14"/>
      <c r="F43" s="6" t="s">
        <v>2</v>
      </c>
      <c r="G43" s="21"/>
      <c r="H43" s="22">
        <v>30000</v>
      </c>
      <c r="I43" s="21">
        <f t="shared" si="0"/>
        <v>4898912.3900000006</v>
      </c>
    </row>
    <row r="44" spans="2:9" x14ac:dyDescent="0.25">
      <c r="B44">
        <v>1</v>
      </c>
      <c r="C44" s="4" t="s">
        <v>251</v>
      </c>
      <c r="D44" s="5" t="s">
        <v>35</v>
      </c>
      <c r="E44" s="14"/>
      <c r="F44" s="6" t="s">
        <v>2</v>
      </c>
      <c r="G44" s="21"/>
      <c r="H44" s="22">
        <v>50000</v>
      </c>
      <c r="I44" s="21">
        <f t="shared" si="0"/>
        <v>4848912.3900000006</v>
      </c>
    </row>
    <row r="45" spans="2:9" x14ac:dyDescent="0.25">
      <c r="B45">
        <v>1</v>
      </c>
      <c r="C45" s="4" t="s">
        <v>251</v>
      </c>
      <c r="D45" s="5" t="s">
        <v>36</v>
      </c>
      <c r="E45" s="14" t="s">
        <v>180</v>
      </c>
      <c r="F45" s="6" t="s">
        <v>12</v>
      </c>
      <c r="G45" s="21">
        <v>265522.8</v>
      </c>
      <c r="H45" s="22"/>
      <c r="I45" s="21">
        <f t="shared" si="0"/>
        <v>5114435.1900000004</v>
      </c>
    </row>
    <row r="46" spans="2:9" x14ac:dyDescent="0.25">
      <c r="B46">
        <v>1</v>
      </c>
      <c r="C46" s="29" t="s">
        <v>251</v>
      </c>
      <c r="D46" s="7" t="s">
        <v>37</v>
      </c>
      <c r="E46" s="15" t="s">
        <v>180</v>
      </c>
      <c r="F46" s="8" t="s">
        <v>28</v>
      </c>
      <c r="G46" s="23">
        <v>49478.400000000001</v>
      </c>
      <c r="H46" s="22"/>
      <c r="I46" s="21">
        <f t="shared" si="0"/>
        <v>5163913.5900000008</v>
      </c>
    </row>
    <row r="47" spans="2:9" x14ac:dyDescent="0.25">
      <c r="B47">
        <v>1</v>
      </c>
      <c r="C47" s="29" t="s">
        <v>251</v>
      </c>
      <c r="D47" s="7" t="s">
        <v>38</v>
      </c>
      <c r="E47" s="15" t="s">
        <v>180</v>
      </c>
      <c r="F47" s="8" t="s">
        <v>12</v>
      </c>
      <c r="G47" s="23">
        <f>23594-2664</f>
        <v>20930</v>
      </c>
      <c r="H47" s="22"/>
      <c r="I47" s="21">
        <f t="shared" si="0"/>
        <v>5184843.5900000008</v>
      </c>
    </row>
    <row r="48" spans="2:9" x14ac:dyDescent="0.25">
      <c r="B48">
        <v>1</v>
      </c>
      <c r="C48" s="29" t="s">
        <v>252</v>
      </c>
      <c r="D48" s="7" t="s">
        <v>39</v>
      </c>
      <c r="E48" s="15" t="s">
        <v>181</v>
      </c>
      <c r="F48" s="8" t="s">
        <v>12</v>
      </c>
      <c r="G48" s="23">
        <v>48528</v>
      </c>
      <c r="H48" s="22"/>
      <c r="I48" s="21">
        <f t="shared" si="0"/>
        <v>5233371.5900000008</v>
      </c>
    </row>
    <row r="49" spans="2:9" x14ac:dyDescent="0.25">
      <c r="B49">
        <v>1</v>
      </c>
      <c r="C49" s="30" t="s">
        <v>252</v>
      </c>
      <c r="D49" s="9">
        <v>1140</v>
      </c>
      <c r="E49" s="16"/>
      <c r="F49" s="10" t="s">
        <v>2</v>
      </c>
      <c r="G49" s="24"/>
      <c r="H49" s="25">
        <v>80000</v>
      </c>
      <c r="I49" s="21">
        <f t="shared" si="0"/>
        <v>5153371.5900000008</v>
      </c>
    </row>
    <row r="50" spans="2:9" x14ac:dyDescent="0.25">
      <c r="B50">
        <v>1</v>
      </c>
      <c r="C50" s="4" t="s">
        <v>253</v>
      </c>
      <c r="D50" s="5" t="s">
        <v>40</v>
      </c>
      <c r="E50" s="14"/>
      <c r="F50" s="6" t="s">
        <v>2</v>
      </c>
      <c r="G50" s="21"/>
      <c r="H50" s="21">
        <v>80000</v>
      </c>
      <c r="I50" s="21">
        <f t="shared" si="0"/>
        <v>5073371.5900000008</v>
      </c>
    </row>
    <row r="51" spans="2:9" x14ac:dyDescent="0.25">
      <c r="B51">
        <v>1</v>
      </c>
      <c r="C51" s="29" t="s">
        <v>254</v>
      </c>
      <c r="D51" s="7" t="s">
        <v>41</v>
      </c>
      <c r="E51" s="15"/>
      <c r="F51" s="8" t="s">
        <v>2</v>
      </c>
      <c r="G51" s="23"/>
      <c r="H51" s="23">
        <v>80000</v>
      </c>
      <c r="I51" s="21">
        <f t="shared" si="0"/>
        <v>4993371.5900000008</v>
      </c>
    </row>
    <row r="52" spans="2:9" x14ac:dyDescent="0.25">
      <c r="B52">
        <v>1</v>
      </c>
      <c r="C52" s="29" t="s">
        <v>255</v>
      </c>
      <c r="D52" s="7" t="s">
        <v>42</v>
      </c>
      <c r="E52" s="15"/>
      <c r="F52" s="8" t="s">
        <v>2</v>
      </c>
      <c r="G52" s="23"/>
      <c r="H52" s="23">
        <v>30000</v>
      </c>
      <c r="I52" s="21">
        <f t="shared" si="0"/>
        <v>4963371.5900000008</v>
      </c>
    </row>
    <row r="53" spans="2:9" x14ac:dyDescent="0.25">
      <c r="B53">
        <v>1</v>
      </c>
      <c r="C53" s="30" t="s">
        <v>256</v>
      </c>
      <c r="D53" s="9">
        <v>1168</v>
      </c>
      <c r="E53" s="16"/>
      <c r="F53" s="10" t="s">
        <v>2</v>
      </c>
      <c r="G53" s="24"/>
      <c r="H53" s="24">
        <v>80000</v>
      </c>
      <c r="I53" s="21">
        <f t="shared" si="0"/>
        <v>4883371.5900000008</v>
      </c>
    </row>
    <row r="54" spans="2:9" x14ac:dyDescent="0.25">
      <c r="B54">
        <v>1</v>
      </c>
      <c r="C54" s="30" t="s">
        <v>257</v>
      </c>
      <c r="D54" s="9">
        <v>1175</v>
      </c>
      <c r="E54" s="16"/>
      <c r="F54" s="10" t="s">
        <v>2</v>
      </c>
      <c r="G54" s="24"/>
      <c r="H54" s="24">
        <v>30000</v>
      </c>
      <c r="I54" s="21">
        <f t="shared" si="0"/>
        <v>4853371.5900000008</v>
      </c>
    </row>
    <row r="55" spans="2:9" x14ac:dyDescent="0.25">
      <c r="B55">
        <v>1</v>
      </c>
      <c r="C55" s="30" t="s">
        <v>258</v>
      </c>
      <c r="D55" s="9">
        <v>1179</v>
      </c>
      <c r="E55" s="16"/>
      <c r="F55" s="10" t="s">
        <v>2</v>
      </c>
      <c r="G55" s="24"/>
      <c r="H55" s="24">
        <v>18000</v>
      </c>
      <c r="I55" s="21">
        <f t="shared" si="0"/>
        <v>4835371.5900000008</v>
      </c>
    </row>
    <row r="56" spans="2:9" x14ac:dyDescent="0.25">
      <c r="B56">
        <v>1</v>
      </c>
      <c r="C56" s="30" t="s">
        <v>258</v>
      </c>
      <c r="D56" s="9">
        <v>1178</v>
      </c>
      <c r="E56" s="16"/>
      <c r="F56" s="10" t="s">
        <v>2</v>
      </c>
      <c r="G56" s="24"/>
      <c r="H56" s="24">
        <v>80000</v>
      </c>
      <c r="I56" s="21">
        <f t="shared" si="0"/>
        <v>4755371.5900000008</v>
      </c>
    </row>
    <row r="57" spans="2:9" x14ac:dyDescent="0.25">
      <c r="B57">
        <v>1</v>
      </c>
      <c r="C57" s="31" t="s">
        <v>259</v>
      </c>
      <c r="D57" s="9">
        <v>1185</v>
      </c>
      <c r="E57" s="16"/>
      <c r="F57" s="10" t="s">
        <v>2</v>
      </c>
      <c r="G57" s="24"/>
      <c r="H57" s="24">
        <v>30000</v>
      </c>
      <c r="I57" s="21">
        <f t="shared" si="0"/>
        <v>4725371.5900000008</v>
      </c>
    </row>
    <row r="58" spans="2:9" x14ac:dyDescent="0.25">
      <c r="B58">
        <v>1</v>
      </c>
      <c r="C58" s="4" t="s">
        <v>260</v>
      </c>
      <c r="D58" s="5" t="s">
        <v>43</v>
      </c>
      <c r="E58" s="14"/>
      <c r="F58" s="6" t="s">
        <v>2</v>
      </c>
      <c r="G58" s="21"/>
      <c r="H58" s="22">
        <v>80000</v>
      </c>
      <c r="I58" s="21">
        <f t="shared" si="0"/>
        <v>4645371.5900000008</v>
      </c>
    </row>
    <row r="59" spans="2:9" x14ac:dyDescent="0.25">
      <c r="B59">
        <v>1</v>
      </c>
      <c r="C59" s="29" t="s">
        <v>261</v>
      </c>
      <c r="D59" s="7" t="s">
        <v>44</v>
      </c>
      <c r="E59" s="15"/>
      <c r="F59" s="8" t="s">
        <v>2</v>
      </c>
      <c r="G59" s="23"/>
      <c r="H59" s="22">
        <v>30000</v>
      </c>
      <c r="I59" s="21">
        <f t="shared" si="0"/>
        <v>4615371.5900000008</v>
      </c>
    </row>
    <row r="60" spans="2:9" x14ac:dyDescent="0.25">
      <c r="B60">
        <v>1</v>
      </c>
      <c r="C60" s="29" t="s">
        <v>262</v>
      </c>
      <c r="D60" s="7" t="s">
        <v>45</v>
      </c>
      <c r="E60" s="15"/>
      <c r="F60" s="8" t="s">
        <v>2</v>
      </c>
      <c r="G60" s="23"/>
      <c r="H60" s="22">
        <v>65000</v>
      </c>
      <c r="I60" s="21">
        <f t="shared" si="0"/>
        <v>4550371.5900000008</v>
      </c>
    </row>
    <row r="61" spans="2:9" x14ac:dyDescent="0.25">
      <c r="B61">
        <v>1</v>
      </c>
      <c r="C61" s="30" t="s">
        <v>263</v>
      </c>
      <c r="D61" s="9">
        <v>1202</v>
      </c>
      <c r="E61" s="16"/>
      <c r="F61" s="8" t="s">
        <v>2</v>
      </c>
      <c r="G61" s="24"/>
      <c r="H61" s="25">
        <v>15000</v>
      </c>
      <c r="I61" s="21">
        <f t="shared" si="0"/>
        <v>4535371.5900000008</v>
      </c>
    </row>
    <row r="62" spans="2:9" x14ac:dyDescent="0.25">
      <c r="B62">
        <v>1</v>
      </c>
      <c r="C62" s="30" t="s">
        <v>264</v>
      </c>
      <c r="D62" s="9">
        <v>1206</v>
      </c>
      <c r="E62" s="16"/>
      <c r="F62" s="8" t="s">
        <v>2</v>
      </c>
      <c r="G62" s="24"/>
      <c r="H62" s="25">
        <v>30000</v>
      </c>
      <c r="I62" s="21">
        <f t="shared" si="0"/>
        <v>4505371.5900000008</v>
      </c>
    </row>
    <row r="63" spans="2:9" x14ac:dyDescent="0.25">
      <c r="B63">
        <v>1</v>
      </c>
      <c r="C63" s="30" t="s">
        <v>265</v>
      </c>
      <c r="D63" s="9">
        <v>1208</v>
      </c>
      <c r="E63" s="16"/>
      <c r="F63" s="8" t="s">
        <v>2</v>
      </c>
      <c r="G63" s="24"/>
      <c r="H63" s="25">
        <v>80000</v>
      </c>
      <c r="I63" s="21">
        <f t="shared" si="0"/>
        <v>4425371.5900000008</v>
      </c>
    </row>
    <row r="64" spans="2:9" x14ac:dyDescent="0.25">
      <c r="B64">
        <v>1</v>
      </c>
      <c r="C64" s="30" t="s">
        <v>266</v>
      </c>
      <c r="D64" s="9" t="s">
        <v>46</v>
      </c>
      <c r="E64" s="16" t="s">
        <v>182</v>
      </c>
      <c r="F64" s="8" t="s">
        <v>47</v>
      </c>
      <c r="G64" s="25">
        <v>479833.2</v>
      </c>
      <c r="H64" s="25"/>
      <c r="I64" s="21">
        <f t="shared" si="0"/>
        <v>4905204.790000001</v>
      </c>
    </row>
    <row r="65" spans="2:9" x14ac:dyDescent="0.25">
      <c r="B65">
        <v>1</v>
      </c>
      <c r="C65" s="30" t="s">
        <v>266</v>
      </c>
      <c r="D65" s="9" t="s">
        <v>48</v>
      </c>
      <c r="E65" s="16" t="s">
        <v>182</v>
      </c>
      <c r="F65" s="8" t="s">
        <v>28</v>
      </c>
      <c r="G65" s="25">
        <v>125324</v>
      </c>
      <c r="H65" s="25"/>
      <c r="I65" s="21">
        <f t="shared" si="0"/>
        <v>5030528.790000001</v>
      </c>
    </row>
    <row r="66" spans="2:9" x14ac:dyDescent="0.25">
      <c r="B66">
        <v>1</v>
      </c>
      <c r="C66" s="30" t="s">
        <v>266</v>
      </c>
      <c r="D66" s="9" t="s">
        <v>49</v>
      </c>
      <c r="E66" s="16" t="s">
        <v>182</v>
      </c>
      <c r="F66" s="8" t="s">
        <v>50</v>
      </c>
      <c r="G66" s="25">
        <f>71568-30672-40896</f>
        <v>0</v>
      </c>
      <c r="H66" s="25"/>
      <c r="I66" s="21">
        <f t="shared" si="0"/>
        <v>5030528.790000001</v>
      </c>
    </row>
    <row r="67" spans="2:9" x14ac:dyDescent="0.25">
      <c r="B67">
        <v>1</v>
      </c>
      <c r="C67" s="31" t="s">
        <v>266</v>
      </c>
      <c r="D67" s="9">
        <v>1219</v>
      </c>
      <c r="E67" s="16"/>
      <c r="F67" s="8" t="s">
        <v>2</v>
      </c>
      <c r="G67" s="24"/>
      <c r="H67" s="25">
        <v>80000</v>
      </c>
      <c r="I67" s="21">
        <f t="shared" si="0"/>
        <v>4950528.790000001</v>
      </c>
    </row>
    <row r="68" spans="2:9" x14ac:dyDescent="0.25">
      <c r="B68">
        <v>1</v>
      </c>
      <c r="C68" s="30" t="s">
        <v>267</v>
      </c>
      <c r="D68" s="9">
        <v>1223</v>
      </c>
      <c r="E68" s="16"/>
      <c r="F68" s="8" t="s">
        <v>2</v>
      </c>
      <c r="G68" s="24"/>
      <c r="H68" s="25">
        <v>18000</v>
      </c>
      <c r="I68" s="21">
        <f t="shared" ref="I68:I131" si="1">I67+G68-H68</f>
        <v>4932528.790000001</v>
      </c>
    </row>
    <row r="69" spans="2:9" x14ac:dyDescent="0.25">
      <c r="B69">
        <v>1</v>
      </c>
      <c r="C69" s="30" t="s">
        <v>268</v>
      </c>
      <c r="D69" s="9">
        <v>1227</v>
      </c>
      <c r="E69" s="16"/>
      <c r="F69" s="8" t="s">
        <v>2</v>
      </c>
      <c r="G69" s="24"/>
      <c r="H69" s="25">
        <v>9863.25</v>
      </c>
      <c r="I69" s="21">
        <f t="shared" si="1"/>
        <v>4922665.540000001</v>
      </c>
    </row>
    <row r="70" spans="2:9" x14ac:dyDescent="0.25">
      <c r="B70">
        <v>1</v>
      </c>
      <c r="C70" s="30" t="s">
        <v>269</v>
      </c>
      <c r="D70" s="9">
        <v>1229</v>
      </c>
      <c r="E70" s="16"/>
      <c r="F70" s="8" t="s">
        <v>2</v>
      </c>
      <c r="G70" s="24"/>
      <c r="H70" s="25">
        <v>30000</v>
      </c>
      <c r="I70" s="21">
        <f t="shared" si="1"/>
        <v>4892665.540000001</v>
      </c>
    </row>
    <row r="71" spans="2:9" x14ac:dyDescent="0.25">
      <c r="B71">
        <v>1</v>
      </c>
      <c r="C71" s="30" t="s">
        <v>270</v>
      </c>
      <c r="D71" s="9">
        <v>1233</v>
      </c>
      <c r="E71" s="16"/>
      <c r="F71" s="8" t="s">
        <v>2</v>
      </c>
      <c r="G71" s="24"/>
      <c r="H71" s="25">
        <v>60000</v>
      </c>
      <c r="I71" s="21">
        <f t="shared" si="1"/>
        <v>4832665.540000001</v>
      </c>
    </row>
    <row r="72" spans="2:9" x14ac:dyDescent="0.25">
      <c r="B72">
        <v>1</v>
      </c>
      <c r="C72" s="4" t="s">
        <v>271</v>
      </c>
      <c r="D72" s="5" t="s">
        <v>51</v>
      </c>
      <c r="E72" s="14"/>
      <c r="F72" s="6" t="s">
        <v>2</v>
      </c>
      <c r="G72" s="21"/>
      <c r="H72" s="22">
        <v>20000</v>
      </c>
      <c r="I72" s="21">
        <f t="shared" si="1"/>
        <v>4812665.540000001</v>
      </c>
    </row>
    <row r="73" spans="2:9" x14ac:dyDescent="0.25">
      <c r="B73">
        <v>1</v>
      </c>
      <c r="C73" s="29" t="s">
        <v>272</v>
      </c>
      <c r="D73" s="7" t="s">
        <v>52</v>
      </c>
      <c r="E73" s="15"/>
      <c r="F73" s="6" t="s">
        <v>2</v>
      </c>
      <c r="G73" s="23"/>
      <c r="H73" s="22">
        <v>30000</v>
      </c>
      <c r="I73" s="21">
        <f t="shared" si="1"/>
        <v>4782665.540000001</v>
      </c>
    </row>
    <row r="74" spans="2:9" x14ac:dyDescent="0.25">
      <c r="B74">
        <v>1</v>
      </c>
      <c r="C74" s="29" t="s">
        <v>273</v>
      </c>
      <c r="D74" s="7" t="s">
        <v>53</v>
      </c>
      <c r="E74" s="15"/>
      <c r="F74" s="6" t="s">
        <v>2</v>
      </c>
      <c r="G74" s="23"/>
      <c r="H74" s="22">
        <v>80000</v>
      </c>
      <c r="I74" s="21">
        <f t="shared" si="1"/>
        <v>4702665.540000001</v>
      </c>
    </row>
    <row r="75" spans="2:9" x14ac:dyDescent="0.25">
      <c r="B75">
        <v>1</v>
      </c>
      <c r="C75" s="30" t="s">
        <v>274</v>
      </c>
      <c r="D75" s="9">
        <v>1251</v>
      </c>
      <c r="E75" s="16"/>
      <c r="F75" s="6" t="s">
        <v>2</v>
      </c>
      <c r="G75" s="24"/>
      <c r="H75" s="25">
        <v>30000</v>
      </c>
      <c r="I75" s="21">
        <f t="shared" si="1"/>
        <v>4672665.540000001</v>
      </c>
    </row>
    <row r="76" spans="2:9" x14ac:dyDescent="0.25">
      <c r="B76">
        <v>1</v>
      </c>
      <c r="C76" s="30" t="s">
        <v>275</v>
      </c>
      <c r="D76" s="9">
        <v>1253</v>
      </c>
      <c r="E76" s="16"/>
      <c r="F76" s="6" t="s">
        <v>2</v>
      </c>
      <c r="G76" s="24"/>
      <c r="H76" s="25">
        <v>80000</v>
      </c>
      <c r="I76" s="21">
        <f t="shared" si="1"/>
        <v>4592665.540000001</v>
      </c>
    </row>
    <row r="77" spans="2:9" x14ac:dyDescent="0.25">
      <c r="B77">
        <v>1</v>
      </c>
      <c r="C77" s="30" t="s">
        <v>276</v>
      </c>
      <c r="D77" s="9" t="s">
        <v>54</v>
      </c>
      <c r="E77" s="16" t="s">
        <v>183</v>
      </c>
      <c r="F77" s="6" t="s">
        <v>10</v>
      </c>
      <c r="G77" s="24">
        <v>28080</v>
      </c>
      <c r="H77" s="25"/>
      <c r="I77" s="21">
        <f t="shared" si="1"/>
        <v>4620745.540000001</v>
      </c>
    </row>
    <row r="78" spans="2:9" x14ac:dyDescent="0.25">
      <c r="B78">
        <v>1</v>
      </c>
      <c r="C78" s="30" t="s">
        <v>277</v>
      </c>
      <c r="D78" s="9">
        <v>1259</v>
      </c>
      <c r="E78" s="16"/>
      <c r="F78" s="6" t="s">
        <v>2</v>
      </c>
      <c r="G78" s="24"/>
      <c r="H78" s="25">
        <v>30000</v>
      </c>
      <c r="I78" s="21">
        <f t="shared" si="1"/>
        <v>4590745.540000001</v>
      </c>
    </row>
    <row r="79" spans="2:9" x14ac:dyDescent="0.25">
      <c r="B79">
        <v>1</v>
      </c>
      <c r="C79" s="31" t="s">
        <v>278</v>
      </c>
      <c r="D79" s="9">
        <v>1261</v>
      </c>
      <c r="E79" s="16"/>
      <c r="F79" s="6" t="s">
        <v>2</v>
      </c>
      <c r="G79" s="24"/>
      <c r="H79" s="25">
        <v>18000</v>
      </c>
      <c r="I79" s="21">
        <f t="shared" si="1"/>
        <v>4572745.540000001</v>
      </c>
    </row>
    <row r="80" spans="2:9" x14ac:dyDescent="0.25">
      <c r="B80">
        <v>1</v>
      </c>
      <c r="C80" s="30" t="s">
        <v>279</v>
      </c>
      <c r="D80" s="9">
        <v>1268</v>
      </c>
      <c r="E80" s="16"/>
      <c r="F80" s="6" t="s">
        <v>2</v>
      </c>
      <c r="G80" s="24"/>
      <c r="H80" s="25">
        <v>80000</v>
      </c>
      <c r="I80" s="21">
        <f t="shared" si="1"/>
        <v>4492745.540000001</v>
      </c>
    </row>
    <row r="81" spans="2:9" x14ac:dyDescent="0.25">
      <c r="B81">
        <v>1</v>
      </c>
      <c r="C81" s="30" t="s">
        <v>280</v>
      </c>
      <c r="D81" s="9">
        <v>1268</v>
      </c>
      <c r="E81" s="16"/>
      <c r="F81" s="6" t="s">
        <v>2</v>
      </c>
      <c r="G81" s="24"/>
      <c r="H81" s="25">
        <v>30000</v>
      </c>
      <c r="I81" s="21">
        <f t="shared" si="1"/>
        <v>4462745.540000001</v>
      </c>
    </row>
    <row r="82" spans="2:9" x14ac:dyDescent="0.25">
      <c r="B82">
        <v>1</v>
      </c>
      <c r="C82" s="30" t="s">
        <v>281</v>
      </c>
      <c r="D82" s="9">
        <v>1271</v>
      </c>
      <c r="E82" s="16"/>
      <c r="F82" s="6" t="s">
        <v>2</v>
      </c>
      <c r="G82" s="24"/>
      <c r="H82" s="25">
        <v>80000</v>
      </c>
      <c r="I82" s="21">
        <f t="shared" si="1"/>
        <v>4382745.540000001</v>
      </c>
    </row>
    <row r="83" spans="2:9" x14ac:dyDescent="0.25">
      <c r="B83">
        <v>1</v>
      </c>
      <c r="C83" s="30" t="s">
        <v>282</v>
      </c>
      <c r="D83" s="9">
        <v>1276</v>
      </c>
      <c r="E83" s="16"/>
      <c r="F83" s="6" t="s">
        <v>2</v>
      </c>
      <c r="G83" s="24"/>
      <c r="H83" s="25">
        <v>30000</v>
      </c>
      <c r="I83" s="21">
        <f t="shared" si="1"/>
        <v>4352745.540000001</v>
      </c>
    </row>
    <row r="84" spans="2:9" x14ac:dyDescent="0.25">
      <c r="B84">
        <v>1</v>
      </c>
      <c r="C84" s="30" t="s">
        <v>283</v>
      </c>
      <c r="D84" s="9">
        <v>1274</v>
      </c>
      <c r="E84" s="16"/>
      <c r="F84" s="6" t="s">
        <v>2</v>
      </c>
      <c r="G84" s="24"/>
      <c r="H84" s="25">
        <v>50000</v>
      </c>
      <c r="I84" s="21">
        <f t="shared" si="1"/>
        <v>4302745.540000001</v>
      </c>
    </row>
    <row r="85" spans="2:9" x14ac:dyDescent="0.25">
      <c r="B85">
        <v>1</v>
      </c>
      <c r="C85" s="4" t="s">
        <v>284</v>
      </c>
      <c r="D85" s="5" t="s">
        <v>55</v>
      </c>
      <c r="E85" s="14"/>
      <c r="F85" s="6" t="s">
        <v>2</v>
      </c>
      <c r="G85" s="21"/>
      <c r="H85" s="22">
        <v>80000</v>
      </c>
      <c r="I85" s="21">
        <f t="shared" si="1"/>
        <v>4222745.540000001</v>
      </c>
    </row>
    <row r="86" spans="2:9" x14ac:dyDescent="0.25">
      <c r="B86">
        <v>1</v>
      </c>
      <c r="C86" s="29" t="s">
        <v>285</v>
      </c>
      <c r="D86" s="7" t="s">
        <v>56</v>
      </c>
      <c r="E86" s="14"/>
      <c r="F86" s="6" t="s">
        <v>2</v>
      </c>
      <c r="G86" s="23"/>
      <c r="H86" s="22">
        <v>90000</v>
      </c>
      <c r="I86" s="21">
        <f t="shared" si="1"/>
        <v>4132745.540000001</v>
      </c>
    </row>
    <row r="87" spans="2:9" x14ac:dyDescent="0.25">
      <c r="B87">
        <v>1</v>
      </c>
      <c r="C87" s="29" t="s">
        <v>286</v>
      </c>
      <c r="D87" s="7" t="s">
        <v>57</v>
      </c>
      <c r="E87" s="14"/>
      <c r="F87" s="6" t="s">
        <v>2</v>
      </c>
      <c r="G87" s="23"/>
      <c r="H87" s="22">
        <v>20000</v>
      </c>
      <c r="I87" s="21">
        <f t="shared" si="1"/>
        <v>4112745.540000001</v>
      </c>
    </row>
    <row r="88" spans="2:9" x14ac:dyDescent="0.25">
      <c r="B88">
        <v>1</v>
      </c>
      <c r="C88" s="29" t="s">
        <v>287</v>
      </c>
      <c r="D88" s="7" t="s">
        <v>58</v>
      </c>
      <c r="E88" s="14"/>
      <c r="F88" s="6" t="s">
        <v>2</v>
      </c>
      <c r="G88" s="23"/>
      <c r="H88" s="22">
        <v>30000</v>
      </c>
      <c r="I88" s="21">
        <f t="shared" si="1"/>
        <v>4082745.540000001</v>
      </c>
    </row>
    <row r="89" spans="2:9" x14ac:dyDescent="0.25">
      <c r="B89">
        <v>1</v>
      </c>
      <c r="C89" s="29" t="s">
        <v>288</v>
      </c>
      <c r="D89" s="7" t="s">
        <v>59</v>
      </c>
      <c r="E89" s="14"/>
      <c r="F89" s="6" t="s">
        <v>2</v>
      </c>
      <c r="G89" s="23"/>
      <c r="H89" s="22">
        <v>80000</v>
      </c>
      <c r="I89" s="21">
        <f t="shared" si="1"/>
        <v>4002745.540000001</v>
      </c>
    </row>
    <row r="90" spans="2:9" x14ac:dyDescent="0.25">
      <c r="B90">
        <v>1</v>
      </c>
      <c r="C90" s="29" t="s">
        <v>289</v>
      </c>
      <c r="D90" s="7" t="s">
        <v>60</v>
      </c>
      <c r="E90" s="14"/>
      <c r="F90" s="6" t="s">
        <v>2</v>
      </c>
      <c r="G90" s="23"/>
      <c r="H90" s="22">
        <v>70000</v>
      </c>
      <c r="I90" s="21">
        <f t="shared" si="1"/>
        <v>3932745.540000001</v>
      </c>
    </row>
    <row r="91" spans="2:9" x14ac:dyDescent="0.25">
      <c r="B91">
        <v>1</v>
      </c>
      <c r="C91" s="29" t="s">
        <v>290</v>
      </c>
      <c r="D91" s="7" t="s">
        <v>61</v>
      </c>
      <c r="E91" s="14"/>
      <c r="F91" s="6" t="s">
        <v>2</v>
      </c>
      <c r="G91" s="23"/>
      <c r="H91" s="22">
        <v>18000</v>
      </c>
      <c r="I91" s="21">
        <f t="shared" si="1"/>
        <v>3914745.540000001</v>
      </c>
    </row>
    <row r="92" spans="2:9" x14ac:dyDescent="0.25">
      <c r="B92">
        <v>1</v>
      </c>
      <c r="C92" s="4" t="s">
        <v>290</v>
      </c>
      <c r="D92" s="5" t="s">
        <v>62</v>
      </c>
      <c r="E92" s="14" t="s">
        <v>184</v>
      </c>
      <c r="F92" s="6" t="s">
        <v>28</v>
      </c>
      <c r="G92" s="21">
        <v>44566.8</v>
      </c>
      <c r="H92" s="22"/>
      <c r="I92" s="21">
        <f t="shared" si="1"/>
        <v>3959312.3400000008</v>
      </c>
    </row>
    <row r="93" spans="2:9" x14ac:dyDescent="0.25">
      <c r="B93">
        <v>1</v>
      </c>
      <c r="C93" s="29" t="s">
        <v>290</v>
      </c>
      <c r="D93" s="7" t="s">
        <v>63</v>
      </c>
      <c r="E93" s="14" t="s">
        <v>185</v>
      </c>
      <c r="F93" s="8" t="s">
        <v>28</v>
      </c>
      <c r="G93" s="23">
        <v>43554.8</v>
      </c>
      <c r="H93" s="22"/>
      <c r="I93" s="21">
        <f t="shared" si="1"/>
        <v>4002867.1400000006</v>
      </c>
    </row>
    <row r="94" spans="2:9" x14ac:dyDescent="0.25">
      <c r="B94">
        <v>1</v>
      </c>
      <c r="C94" s="29" t="s">
        <v>290</v>
      </c>
      <c r="D94" s="7" t="s">
        <v>64</v>
      </c>
      <c r="E94" s="14" t="s">
        <v>186</v>
      </c>
      <c r="F94" s="8" t="s">
        <v>28</v>
      </c>
      <c r="G94" s="23">
        <v>94090.4</v>
      </c>
      <c r="H94" s="22"/>
      <c r="I94" s="21">
        <f t="shared" si="1"/>
        <v>4096957.5400000005</v>
      </c>
    </row>
    <row r="95" spans="2:9" x14ac:dyDescent="0.25">
      <c r="B95">
        <v>1</v>
      </c>
      <c r="C95" s="30" t="s">
        <v>290</v>
      </c>
      <c r="D95" s="9" t="s">
        <v>65</v>
      </c>
      <c r="E95" s="14" t="s">
        <v>187</v>
      </c>
      <c r="F95" s="10" t="s">
        <v>12</v>
      </c>
      <c r="G95" s="24">
        <v>358736</v>
      </c>
      <c r="H95" s="25"/>
      <c r="I95" s="21">
        <f t="shared" si="1"/>
        <v>4455693.540000001</v>
      </c>
    </row>
    <row r="96" spans="2:9" x14ac:dyDescent="0.25">
      <c r="B96">
        <v>1</v>
      </c>
      <c r="C96" s="30" t="s">
        <v>290</v>
      </c>
      <c r="D96" s="9" t="s">
        <v>66</v>
      </c>
      <c r="E96" s="14" t="s">
        <v>188</v>
      </c>
      <c r="F96" s="10" t="s">
        <v>50</v>
      </c>
      <c r="G96" s="24">
        <v>135266.4</v>
      </c>
      <c r="H96" s="25"/>
      <c r="I96" s="21">
        <f t="shared" si="1"/>
        <v>4590959.9400000013</v>
      </c>
    </row>
    <row r="97" spans="2:9" x14ac:dyDescent="0.25">
      <c r="B97">
        <v>1</v>
      </c>
      <c r="C97" s="30" t="s">
        <v>290</v>
      </c>
      <c r="D97" s="9" t="s">
        <v>67</v>
      </c>
      <c r="E97" s="14" t="s">
        <v>189</v>
      </c>
      <c r="F97" s="10" t="s">
        <v>28</v>
      </c>
      <c r="G97" s="24">
        <v>36255</v>
      </c>
      <c r="H97" s="25"/>
      <c r="I97" s="21">
        <f t="shared" si="1"/>
        <v>4627214.9400000013</v>
      </c>
    </row>
    <row r="98" spans="2:9" x14ac:dyDescent="0.25">
      <c r="B98">
        <v>1</v>
      </c>
      <c r="C98" s="4" t="s">
        <v>291</v>
      </c>
      <c r="D98" s="5" t="s">
        <v>68</v>
      </c>
      <c r="E98" s="14"/>
      <c r="F98" s="6" t="s">
        <v>2</v>
      </c>
      <c r="G98" s="21"/>
      <c r="H98" s="22">
        <v>50000</v>
      </c>
      <c r="I98" s="21">
        <f t="shared" si="1"/>
        <v>4577214.9400000013</v>
      </c>
    </row>
    <row r="99" spans="2:9" x14ac:dyDescent="0.25">
      <c r="B99">
        <v>1</v>
      </c>
      <c r="C99" s="4" t="s">
        <v>292</v>
      </c>
      <c r="D99" s="5" t="s">
        <v>69</v>
      </c>
      <c r="E99" s="14"/>
      <c r="F99" s="6" t="s">
        <v>2</v>
      </c>
      <c r="G99" s="21"/>
      <c r="H99" s="22">
        <v>20000</v>
      </c>
      <c r="I99" s="21">
        <f t="shared" si="1"/>
        <v>4557214.9400000013</v>
      </c>
    </row>
    <row r="100" spans="2:9" x14ac:dyDescent="0.25">
      <c r="B100">
        <v>1</v>
      </c>
      <c r="C100" s="4" t="s">
        <v>292</v>
      </c>
      <c r="D100" s="5" t="s">
        <v>70</v>
      </c>
      <c r="E100" s="14" t="s">
        <v>190</v>
      </c>
      <c r="F100" s="6" t="s">
        <v>28</v>
      </c>
      <c r="G100" s="21">
        <v>751.6</v>
      </c>
      <c r="H100" s="22"/>
      <c r="I100" s="21">
        <f t="shared" si="1"/>
        <v>4557966.540000001</v>
      </c>
    </row>
    <row r="101" spans="2:9" x14ac:dyDescent="0.25">
      <c r="B101">
        <v>1</v>
      </c>
      <c r="C101" s="29" t="s">
        <v>293</v>
      </c>
      <c r="D101" s="7" t="s">
        <v>71</v>
      </c>
      <c r="E101" s="15"/>
      <c r="F101" s="8" t="s">
        <v>2</v>
      </c>
      <c r="G101" s="23"/>
      <c r="H101" s="22">
        <v>40000</v>
      </c>
      <c r="I101" s="21">
        <f t="shared" si="1"/>
        <v>4517966.540000001</v>
      </c>
    </row>
    <row r="102" spans="2:9" x14ac:dyDescent="0.25">
      <c r="B102">
        <v>1</v>
      </c>
      <c r="C102" s="29" t="s">
        <v>294</v>
      </c>
      <c r="D102" s="7" t="s">
        <v>72</v>
      </c>
      <c r="E102" s="15"/>
      <c r="F102" s="8" t="s">
        <v>2</v>
      </c>
      <c r="G102" s="23"/>
      <c r="H102" s="22">
        <v>28000</v>
      </c>
      <c r="I102" s="21">
        <f t="shared" si="1"/>
        <v>4489966.540000001</v>
      </c>
    </row>
    <row r="103" spans="2:9" x14ac:dyDescent="0.25">
      <c r="B103">
        <v>1</v>
      </c>
      <c r="C103" s="29" t="s">
        <v>295</v>
      </c>
      <c r="D103" s="7" t="s">
        <v>73</v>
      </c>
      <c r="E103" s="15"/>
      <c r="F103" s="8" t="s">
        <v>2</v>
      </c>
      <c r="G103" s="23"/>
      <c r="H103" s="22">
        <v>68000</v>
      </c>
      <c r="I103" s="21">
        <f t="shared" si="1"/>
        <v>4421966.540000001</v>
      </c>
    </row>
    <row r="104" spans="2:9" x14ac:dyDescent="0.25">
      <c r="B104">
        <v>1</v>
      </c>
      <c r="C104" s="29" t="s">
        <v>296</v>
      </c>
      <c r="D104" s="7" t="s">
        <v>74</v>
      </c>
      <c r="E104" s="15"/>
      <c r="F104" s="8" t="s">
        <v>2</v>
      </c>
      <c r="G104" s="23"/>
      <c r="H104" s="22">
        <v>38000</v>
      </c>
      <c r="I104" s="21">
        <f t="shared" si="1"/>
        <v>4383966.540000001</v>
      </c>
    </row>
    <row r="105" spans="2:9" x14ac:dyDescent="0.25">
      <c r="B105">
        <v>1</v>
      </c>
      <c r="C105" s="29" t="s">
        <v>297</v>
      </c>
      <c r="D105" s="7" t="s">
        <v>75</v>
      </c>
      <c r="E105" s="15"/>
      <c r="F105" s="8" t="s">
        <v>2</v>
      </c>
      <c r="G105" s="23"/>
      <c r="H105" s="22">
        <v>25000</v>
      </c>
      <c r="I105" s="21">
        <f t="shared" si="1"/>
        <v>4358966.540000001</v>
      </c>
    </row>
    <row r="106" spans="2:9" x14ac:dyDescent="0.25">
      <c r="B106">
        <v>1</v>
      </c>
      <c r="C106" s="29" t="s">
        <v>298</v>
      </c>
      <c r="D106" s="7" t="s">
        <v>76</v>
      </c>
      <c r="E106" s="15"/>
      <c r="F106" s="8" t="s">
        <v>2</v>
      </c>
      <c r="G106" s="23"/>
      <c r="H106" s="22">
        <v>30000</v>
      </c>
      <c r="I106" s="21">
        <f t="shared" si="1"/>
        <v>4328966.540000001</v>
      </c>
    </row>
    <row r="107" spans="2:9" x14ac:dyDescent="0.25">
      <c r="B107">
        <v>1</v>
      </c>
      <c r="C107" s="29" t="s">
        <v>298</v>
      </c>
      <c r="D107" s="7" t="s">
        <v>77</v>
      </c>
      <c r="E107" s="15"/>
      <c r="F107" s="8" t="s">
        <v>2</v>
      </c>
      <c r="G107" s="23"/>
      <c r="H107" s="22">
        <v>40000</v>
      </c>
      <c r="I107" s="21">
        <f t="shared" si="1"/>
        <v>4288966.540000001</v>
      </c>
    </row>
    <row r="108" spans="2:9" x14ac:dyDescent="0.25">
      <c r="B108">
        <v>1</v>
      </c>
      <c r="C108" s="29" t="s">
        <v>299</v>
      </c>
      <c r="D108" s="7" t="s">
        <v>78</v>
      </c>
      <c r="E108" s="15" t="s">
        <v>191</v>
      </c>
      <c r="F108" s="8" t="s">
        <v>12</v>
      </c>
      <c r="G108" s="23">
        <v>192836.8</v>
      </c>
      <c r="H108" s="22"/>
      <c r="I108" s="21">
        <f t="shared" si="1"/>
        <v>4481803.3400000008</v>
      </c>
    </row>
    <row r="109" spans="2:9" x14ac:dyDescent="0.25">
      <c r="B109">
        <v>1</v>
      </c>
      <c r="C109" s="29" t="s">
        <v>300</v>
      </c>
      <c r="D109" s="7" t="s">
        <v>79</v>
      </c>
      <c r="E109" s="15" t="s">
        <v>192</v>
      </c>
      <c r="F109" s="8" t="s">
        <v>12</v>
      </c>
      <c r="G109" s="23">
        <v>115894.8</v>
      </c>
      <c r="H109" s="22"/>
      <c r="I109" s="21">
        <f t="shared" si="1"/>
        <v>4597698.1400000006</v>
      </c>
    </row>
    <row r="110" spans="2:9" x14ac:dyDescent="0.25">
      <c r="B110">
        <v>1</v>
      </c>
      <c r="C110" s="30" t="s">
        <v>300</v>
      </c>
      <c r="D110" s="9">
        <v>1338</v>
      </c>
      <c r="E110" s="16"/>
      <c r="F110" s="10" t="s">
        <v>2</v>
      </c>
      <c r="G110" s="24"/>
      <c r="H110" s="25">
        <v>20000</v>
      </c>
      <c r="I110" s="21">
        <f t="shared" si="1"/>
        <v>4577698.1400000006</v>
      </c>
    </row>
    <row r="111" spans="2:9" x14ac:dyDescent="0.25">
      <c r="B111">
        <v>1</v>
      </c>
      <c r="C111" s="30" t="s">
        <v>301</v>
      </c>
      <c r="D111" s="9">
        <v>1345</v>
      </c>
      <c r="E111" s="16"/>
      <c r="F111" s="10" t="s">
        <v>2</v>
      </c>
      <c r="G111" s="24"/>
      <c r="H111" s="25">
        <v>30000</v>
      </c>
      <c r="I111" s="21">
        <f t="shared" si="1"/>
        <v>4547698.1400000006</v>
      </c>
    </row>
    <row r="112" spans="2:9" x14ac:dyDescent="0.25">
      <c r="B112">
        <v>1</v>
      </c>
      <c r="C112" s="30" t="s">
        <v>302</v>
      </c>
      <c r="D112" s="9">
        <v>1351</v>
      </c>
      <c r="E112" s="16"/>
      <c r="F112" s="10" t="s">
        <v>2</v>
      </c>
      <c r="G112" s="24"/>
      <c r="H112" s="25">
        <v>33000</v>
      </c>
      <c r="I112" s="21">
        <f t="shared" si="1"/>
        <v>4514698.1400000006</v>
      </c>
    </row>
    <row r="113" spans="2:9" x14ac:dyDescent="0.25">
      <c r="B113">
        <v>1</v>
      </c>
      <c r="C113" s="31" t="s">
        <v>303</v>
      </c>
      <c r="D113" s="9">
        <v>1353</v>
      </c>
      <c r="E113" s="16"/>
      <c r="F113" s="10" t="s">
        <v>2</v>
      </c>
      <c r="G113" s="24"/>
      <c r="H113" s="25">
        <v>43000</v>
      </c>
      <c r="I113" s="21">
        <f t="shared" si="1"/>
        <v>4471698.1400000006</v>
      </c>
    </row>
    <row r="114" spans="2:9" x14ac:dyDescent="0.25">
      <c r="B114">
        <v>1</v>
      </c>
      <c r="C114" s="29" t="s">
        <v>304</v>
      </c>
      <c r="D114" s="7" t="s">
        <v>80</v>
      </c>
      <c r="E114" s="15"/>
      <c r="F114" s="8" t="s">
        <v>2</v>
      </c>
      <c r="G114" s="23"/>
      <c r="H114" s="22">
        <v>60000</v>
      </c>
      <c r="I114" s="21">
        <f t="shared" si="1"/>
        <v>4411698.1400000006</v>
      </c>
    </row>
    <row r="115" spans="2:9" x14ac:dyDescent="0.25">
      <c r="B115">
        <v>1</v>
      </c>
      <c r="C115" s="29" t="s">
        <v>305</v>
      </c>
      <c r="D115" s="7" t="s">
        <v>81</v>
      </c>
      <c r="E115" s="15"/>
      <c r="F115" s="8" t="s">
        <v>2</v>
      </c>
      <c r="G115" s="23"/>
      <c r="H115" s="22">
        <v>30000</v>
      </c>
      <c r="I115" s="21">
        <f t="shared" si="1"/>
        <v>4381698.1400000006</v>
      </c>
    </row>
    <row r="116" spans="2:9" x14ac:dyDescent="0.25">
      <c r="B116">
        <v>1</v>
      </c>
      <c r="C116" s="29" t="s">
        <v>306</v>
      </c>
      <c r="D116" s="7" t="s">
        <v>82</v>
      </c>
      <c r="E116" s="15"/>
      <c r="F116" s="8" t="s">
        <v>2</v>
      </c>
      <c r="G116" s="23"/>
      <c r="H116" s="22">
        <v>45000</v>
      </c>
      <c r="I116" s="21">
        <f t="shared" si="1"/>
        <v>4336698.1400000006</v>
      </c>
    </row>
    <row r="117" spans="2:9" x14ac:dyDescent="0.25">
      <c r="B117">
        <v>1</v>
      </c>
      <c r="C117" s="29" t="s">
        <v>307</v>
      </c>
      <c r="D117" s="7" t="s">
        <v>83</v>
      </c>
      <c r="E117" s="15"/>
      <c r="F117" s="8" t="s">
        <v>2</v>
      </c>
      <c r="G117" s="23"/>
      <c r="H117" s="22">
        <v>20000</v>
      </c>
      <c r="I117" s="21">
        <f t="shared" si="1"/>
        <v>4316698.1400000006</v>
      </c>
    </row>
    <row r="118" spans="2:9" x14ac:dyDescent="0.25">
      <c r="B118">
        <v>1</v>
      </c>
      <c r="C118" s="29" t="s">
        <v>84</v>
      </c>
      <c r="D118" s="7" t="s">
        <v>85</v>
      </c>
      <c r="E118" s="15"/>
      <c r="F118" s="8" t="s">
        <v>2</v>
      </c>
      <c r="G118" s="23"/>
      <c r="H118" s="22">
        <v>20000</v>
      </c>
      <c r="I118" s="21">
        <f t="shared" si="1"/>
        <v>4296698.1400000006</v>
      </c>
    </row>
    <row r="119" spans="2:9" x14ac:dyDescent="0.25">
      <c r="B119">
        <v>1</v>
      </c>
      <c r="C119" s="29" t="s">
        <v>308</v>
      </c>
      <c r="D119" s="7" t="s">
        <v>86</v>
      </c>
      <c r="E119" s="15"/>
      <c r="F119" s="8" t="s">
        <v>2</v>
      </c>
      <c r="G119" s="23"/>
      <c r="H119" s="22">
        <v>15000</v>
      </c>
      <c r="I119" s="21">
        <f t="shared" si="1"/>
        <v>4281698.1400000006</v>
      </c>
    </row>
    <row r="120" spans="2:9" x14ac:dyDescent="0.25">
      <c r="B120">
        <v>1</v>
      </c>
      <c r="C120" s="29" t="s">
        <v>309</v>
      </c>
      <c r="D120" s="7" t="s">
        <v>87</v>
      </c>
      <c r="E120" s="15"/>
      <c r="F120" s="8" t="s">
        <v>2</v>
      </c>
      <c r="G120" s="23"/>
      <c r="H120" s="22">
        <v>60000</v>
      </c>
      <c r="I120" s="21">
        <f t="shared" si="1"/>
        <v>4221698.1400000006</v>
      </c>
    </row>
    <row r="121" spans="2:9" x14ac:dyDescent="0.25">
      <c r="B121">
        <v>1</v>
      </c>
      <c r="C121" s="29" t="s">
        <v>183</v>
      </c>
      <c r="D121" s="7" t="s">
        <v>88</v>
      </c>
      <c r="E121" s="15"/>
      <c r="F121" s="8" t="s">
        <v>2</v>
      </c>
      <c r="G121" s="23"/>
      <c r="H121" s="22">
        <v>30000</v>
      </c>
      <c r="I121" s="21">
        <f t="shared" si="1"/>
        <v>4191698.1400000006</v>
      </c>
    </row>
    <row r="122" spans="2:9" x14ac:dyDescent="0.25">
      <c r="B122">
        <v>1</v>
      </c>
      <c r="C122" s="29" t="s">
        <v>310</v>
      </c>
      <c r="D122" s="7" t="s">
        <v>89</v>
      </c>
      <c r="E122" s="15"/>
      <c r="F122" s="8" t="s">
        <v>2</v>
      </c>
      <c r="G122" s="23"/>
      <c r="H122" s="22">
        <v>40000</v>
      </c>
      <c r="I122" s="21">
        <f t="shared" si="1"/>
        <v>4151698.1400000006</v>
      </c>
    </row>
    <row r="123" spans="2:9" x14ac:dyDescent="0.25">
      <c r="B123">
        <v>1</v>
      </c>
      <c r="C123" s="29" t="s">
        <v>311</v>
      </c>
      <c r="D123" s="7" t="s">
        <v>90</v>
      </c>
      <c r="E123" s="15"/>
      <c r="F123" s="8" t="s">
        <v>2</v>
      </c>
      <c r="G123" s="23"/>
      <c r="H123" s="22">
        <v>18000</v>
      </c>
      <c r="I123" s="21">
        <f t="shared" si="1"/>
        <v>4133698.1400000006</v>
      </c>
    </row>
    <row r="124" spans="2:9" x14ac:dyDescent="0.25">
      <c r="B124">
        <v>1</v>
      </c>
      <c r="C124" s="29" t="s">
        <v>311</v>
      </c>
      <c r="D124" s="7" t="s">
        <v>91</v>
      </c>
      <c r="E124" s="15"/>
      <c r="F124" s="8" t="s">
        <v>2</v>
      </c>
      <c r="G124" s="23"/>
      <c r="H124" s="22">
        <v>80000</v>
      </c>
      <c r="I124" s="21">
        <f t="shared" si="1"/>
        <v>4053698.1400000006</v>
      </c>
    </row>
    <row r="125" spans="2:9" x14ac:dyDescent="0.25">
      <c r="B125">
        <v>1</v>
      </c>
      <c r="C125" s="29" t="s">
        <v>311</v>
      </c>
      <c r="D125" s="7" t="s">
        <v>92</v>
      </c>
      <c r="E125" s="15" t="s">
        <v>193</v>
      </c>
      <c r="F125" s="8" t="s">
        <v>93</v>
      </c>
      <c r="G125" s="23">
        <v>468307.4</v>
      </c>
      <c r="H125" s="22"/>
      <c r="I125" s="21">
        <f t="shared" si="1"/>
        <v>4522005.540000001</v>
      </c>
    </row>
    <row r="126" spans="2:9" x14ac:dyDescent="0.25">
      <c r="B126">
        <v>1</v>
      </c>
      <c r="C126" s="29" t="s">
        <v>312</v>
      </c>
      <c r="D126" s="7" t="s">
        <v>94</v>
      </c>
      <c r="E126" s="15"/>
      <c r="F126" s="8" t="s">
        <v>2</v>
      </c>
      <c r="G126" s="23"/>
      <c r="H126" s="22">
        <v>30000</v>
      </c>
      <c r="I126" s="21">
        <f t="shared" si="1"/>
        <v>4492005.540000001</v>
      </c>
    </row>
    <row r="127" spans="2:9" x14ac:dyDescent="0.25">
      <c r="B127">
        <v>1</v>
      </c>
      <c r="C127" s="30" t="s">
        <v>313</v>
      </c>
      <c r="D127" s="11" t="s">
        <v>95</v>
      </c>
      <c r="E127" s="17"/>
      <c r="F127" s="8" t="s">
        <v>2</v>
      </c>
      <c r="G127" s="26"/>
      <c r="H127" s="25">
        <v>9000</v>
      </c>
      <c r="I127" s="21">
        <f t="shared" si="1"/>
        <v>4483005.540000001</v>
      </c>
    </row>
    <row r="128" spans="2:9" x14ac:dyDescent="0.25">
      <c r="B128">
        <v>1</v>
      </c>
      <c r="C128" s="30" t="s">
        <v>313</v>
      </c>
      <c r="D128" s="9">
        <v>1390</v>
      </c>
      <c r="E128" s="16"/>
      <c r="F128" s="8" t="s">
        <v>2</v>
      </c>
      <c r="G128" s="24"/>
      <c r="H128" s="25">
        <v>30000</v>
      </c>
      <c r="I128" s="21">
        <f t="shared" si="1"/>
        <v>4453005.540000001</v>
      </c>
    </row>
    <row r="129" spans="2:9" x14ac:dyDescent="0.25">
      <c r="B129">
        <v>1</v>
      </c>
      <c r="C129" s="30" t="s">
        <v>314</v>
      </c>
      <c r="D129" s="9">
        <v>1393</v>
      </c>
      <c r="E129" s="16"/>
      <c r="F129" s="8" t="s">
        <v>2</v>
      </c>
      <c r="G129" s="24"/>
      <c r="H129" s="25">
        <v>59000</v>
      </c>
      <c r="I129" s="21">
        <f t="shared" si="1"/>
        <v>4394005.540000001</v>
      </c>
    </row>
    <row r="130" spans="2:9" x14ac:dyDescent="0.25">
      <c r="B130">
        <v>1</v>
      </c>
      <c r="C130" s="30" t="s">
        <v>315</v>
      </c>
      <c r="D130" s="9">
        <v>1395</v>
      </c>
      <c r="E130" s="16"/>
      <c r="F130" s="8" t="s">
        <v>2</v>
      </c>
      <c r="G130" s="24"/>
      <c r="H130" s="25">
        <v>25000</v>
      </c>
      <c r="I130" s="21">
        <f t="shared" si="1"/>
        <v>4369005.540000001</v>
      </c>
    </row>
    <row r="131" spans="2:9" x14ac:dyDescent="0.25">
      <c r="B131">
        <v>1</v>
      </c>
      <c r="C131" s="31" t="s">
        <v>316</v>
      </c>
      <c r="D131" s="9">
        <v>1400</v>
      </c>
      <c r="E131" s="16"/>
      <c r="F131" s="8" t="s">
        <v>2</v>
      </c>
      <c r="G131" s="24"/>
      <c r="H131" s="25">
        <v>20000</v>
      </c>
      <c r="I131" s="21">
        <f t="shared" si="1"/>
        <v>4349005.540000001</v>
      </c>
    </row>
    <row r="132" spans="2:9" x14ac:dyDescent="0.25">
      <c r="B132">
        <v>1</v>
      </c>
      <c r="C132" s="4" t="s">
        <v>317</v>
      </c>
      <c r="D132" s="5" t="s">
        <v>96</v>
      </c>
      <c r="E132" s="14"/>
      <c r="F132" s="6" t="s">
        <v>2</v>
      </c>
      <c r="G132" s="21"/>
      <c r="H132" s="22">
        <v>55000</v>
      </c>
      <c r="I132" s="21">
        <f t="shared" ref="I132:I145" si="2">I131+G132-H132</f>
        <v>4294005.540000001</v>
      </c>
    </row>
    <row r="133" spans="2:9" x14ac:dyDescent="0.25">
      <c r="B133">
        <v>1</v>
      </c>
      <c r="C133" s="4" t="s">
        <v>318</v>
      </c>
      <c r="D133" s="5" t="s">
        <v>97</v>
      </c>
      <c r="E133" s="14"/>
      <c r="F133" s="6" t="s">
        <v>2</v>
      </c>
      <c r="G133" s="21"/>
      <c r="H133" s="22">
        <v>20000</v>
      </c>
      <c r="I133" s="21">
        <f t="shared" si="2"/>
        <v>4274005.540000001</v>
      </c>
    </row>
    <row r="134" spans="2:9" x14ac:dyDescent="0.25">
      <c r="B134">
        <v>1</v>
      </c>
      <c r="C134" s="4" t="s">
        <v>319</v>
      </c>
      <c r="D134" s="5" t="s">
        <v>98</v>
      </c>
      <c r="E134" s="14"/>
      <c r="F134" s="6" t="s">
        <v>2</v>
      </c>
      <c r="G134" s="21"/>
      <c r="H134" s="22">
        <v>65000</v>
      </c>
      <c r="I134" s="21">
        <f t="shared" si="2"/>
        <v>4209005.540000001</v>
      </c>
    </row>
    <row r="135" spans="2:9" x14ac:dyDescent="0.25">
      <c r="B135">
        <v>1</v>
      </c>
      <c r="C135" s="4" t="s">
        <v>320</v>
      </c>
      <c r="D135" s="5" t="s">
        <v>99</v>
      </c>
      <c r="E135" s="14"/>
      <c r="F135" s="6" t="s">
        <v>2</v>
      </c>
      <c r="G135" s="21"/>
      <c r="H135" s="22">
        <v>20000</v>
      </c>
      <c r="I135" s="21">
        <f t="shared" si="2"/>
        <v>4189005.540000001</v>
      </c>
    </row>
    <row r="136" spans="2:9" x14ac:dyDescent="0.25">
      <c r="B136">
        <v>1</v>
      </c>
      <c r="C136" s="4" t="s">
        <v>321</v>
      </c>
      <c r="D136" s="5" t="s">
        <v>100</v>
      </c>
      <c r="E136" s="14" t="s">
        <v>194</v>
      </c>
      <c r="F136" s="6" t="s">
        <v>47</v>
      </c>
      <c r="G136" s="21">
        <v>424548</v>
      </c>
      <c r="H136" s="22"/>
      <c r="I136" s="21">
        <f t="shared" si="2"/>
        <v>4613553.540000001</v>
      </c>
    </row>
    <row r="137" spans="2:9" x14ac:dyDescent="0.25">
      <c r="B137">
        <v>1</v>
      </c>
      <c r="C137" s="29" t="s">
        <v>321</v>
      </c>
      <c r="D137" s="7" t="s">
        <v>101</v>
      </c>
      <c r="E137" s="15"/>
      <c r="F137" s="8" t="s">
        <v>2</v>
      </c>
      <c r="G137" s="23"/>
      <c r="H137" s="22">
        <v>39000</v>
      </c>
      <c r="I137" s="21">
        <f t="shared" si="2"/>
        <v>4574553.540000001</v>
      </c>
    </row>
    <row r="138" spans="2:9" x14ac:dyDescent="0.25">
      <c r="B138">
        <v>1</v>
      </c>
      <c r="C138" s="30" t="s">
        <v>322</v>
      </c>
      <c r="D138" s="9">
        <v>1419</v>
      </c>
      <c r="E138" s="16"/>
      <c r="F138" s="8" t="s">
        <v>2</v>
      </c>
      <c r="G138" s="24"/>
      <c r="H138" s="25">
        <v>70000</v>
      </c>
      <c r="I138" s="21">
        <f t="shared" si="2"/>
        <v>4504553.540000001</v>
      </c>
    </row>
    <row r="139" spans="2:9" x14ac:dyDescent="0.25">
      <c r="B139">
        <v>1</v>
      </c>
      <c r="C139" s="30" t="s">
        <v>323</v>
      </c>
      <c r="D139" s="9">
        <v>1404</v>
      </c>
      <c r="E139" s="16"/>
      <c r="F139" s="8" t="s">
        <v>2</v>
      </c>
      <c r="G139" s="24"/>
      <c r="H139" s="25">
        <v>20000</v>
      </c>
      <c r="I139" s="21">
        <f t="shared" si="2"/>
        <v>4484553.540000001</v>
      </c>
    </row>
    <row r="140" spans="2:9" x14ac:dyDescent="0.25">
      <c r="B140">
        <v>1</v>
      </c>
      <c r="C140" s="31" t="s">
        <v>324</v>
      </c>
      <c r="D140" s="9">
        <v>1408</v>
      </c>
      <c r="E140" s="16"/>
      <c r="F140" s="8" t="s">
        <v>2</v>
      </c>
      <c r="G140" s="24"/>
      <c r="H140" s="25">
        <v>10000</v>
      </c>
      <c r="I140" s="21">
        <f t="shared" si="2"/>
        <v>4474553.540000001</v>
      </c>
    </row>
    <row r="141" spans="2:9" x14ac:dyDescent="0.25">
      <c r="B141">
        <v>1</v>
      </c>
      <c r="C141" s="30" t="s">
        <v>325</v>
      </c>
      <c r="D141" s="9">
        <v>1407</v>
      </c>
      <c r="E141" s="16"/>
      <c r="F141" s="8" t="s">
        <v>2</v>
      </c>
      <c r="G141" s="24"/>
      <c r="H141" s="25">
        <v>18000</v>
      </c>
      <c r="I141" s="21">
        <f t="shared" si="2"/>
        <v>4456553.540000001</v>
      </c>
    </row>
    <row r="142" spans="2:9" x14ac:dyDescent="0.25">
      <c r="B142">
        <v>1</v>
      </c>
      <c r="C142" s="30" t="s">
        <v>326</v>
      </c>
      <c r="D142" s="9" t="s">
        <v>102</v>
      </c>
      <c r="E142" s="16"/>
      <c r="F142" s="10" t="s">
        <v>103</v>
      </c>
      <c r="G142" s="24">
        <v>8337</v>
      </c>
      <c r="H142" s="25"/>
      <c r="I142" s="21">
        <f t="shared" si="2"/>
        <v>4464890.540000001</v>
      </c>
    </row>
    <row r="143" spans="2:9" x14ac:dyDescent="0.25">
      <c r="B143">
        <v>1</v>
      </c>
      <c r="C143" s="30" t="s">
        <v>327</v>
      </c>
      <c r="D143" s="9">
        <v>1415</v>
      </c>
      <c r="E143" s="16"/>
      <c r="F143" s="8" t="s">
        <v>2</v>
      </c>
      <c r="G143" s="24"/>
      <c r="H143" s="25">
        <v>80000</v>
      </c>
      <c r="I143" s="21">
        <f t="shared" si="2"/>
        <v>4384890.540000001</v>
      </c>
    </row>
    <row r="144" spans="2:9" x14ac:dyDescent="0.25">
      <c r="B144">
        <v>1</v>
      </c>
      <c r="C144" s="30" t="s">
        <v>184</v>
      </c>
      <c r="D144" s="9">
        <v>1425</v>
      </c>
      <c r="E144" s="16"/>
      <c r="F144" s="8" t="s">
        <v>2</v>
      </c>
      <c r="G144" s="24"/>
      <c r="H144" s="25">
        <v>20000</v>
      </c>
      <c r="I144" s="21">
        <f t="shared" si="2"/>
        <v>4364890.540000001</v>
      </c>
    </row>
    <row r="145" spans="2:9" x14ac:dyDescent="0.25">
      <c r="B145">
        <v>1</v>
      </c>
      <c r="C145" s="30" t="s">
        <v>184</v>
      </c>
      <c r="D145" s="9">
        <v>1426</v>
      </c>
      <c r="E145" s="16"/>
      <c r="F145" s="8" t="s">
        <v>2</v>
      </c>
      <c r="G145" s="24"/>
      <c r="H145" s="25">
        <v>9360</v>
      </c>
      <c r="I145" s="21">
        <f t="shared" si="2"/>
        <v>4355530.540000001</v>
      </c>
    </row>
    <row r="146" spans="2:9" x14ac:dyDescent="0.25">
      <c r="B146">
        <v>1</v>
      </c>
      <c r="C146" s="29" t="s">
        <v>328</v>
      </c>
      <c r="D146" s="7"/>
      <c r="E146" s="15"/>
      <c r="F146" s="8" t="s">
        <v>2</v>
      </c>
      <c r="G146" s="23"/>
      <c r="H146" s="22">
        <v>80000</v>
      </c>
      <c r="I146" s="21">
        <f>I145+G146-H146</f>
        <v>4275530.540000001</v>
      </c>
    </row>
    <row r="147" spans="2:9" x14ac:dyDescent="0.25">
      <c r="B147">
        <v>1</v>
      </c>
      <c r="C147" s="29" t="s">
        <v>329</v>
      </c>
      <c r="D147" s="7"/>
      <c r="E147" s="15"/>
      <c r="F147" s="8" t="s">
        <v>2</v>
      </c>
      <c r="G147" s="23"/>
      <c r="H147" s="22">
        <v>80000</v>
      </c>
      <c r="I147" s="21">
        <f t="shared" ref="I147:I210" si="3">I146+G147-H147</f>
        <v>4195530.540000001</v>
      </c>
    </row>
    <row r="148" spans="2:9" x14ac:dyDescent="0.25">
      <c r="B148">
        <v>1</v>
      </c>
      <c r="C148" s="29" t="s">
        <v>330</v>
      </c>
      <c r="D148" s="7"/>
      <c r="E148" s="15"/>
      <c r="F148" s="8" t="s">
        <v>2</v>
      </c>
      <c r="G148" s="23"/>
      <c r="H148" s="22">
        <v>30000</v>
      </c>
      <c r="I148" s="21">
        <f t="shared" si="3"/>
        <v>4165530.540000001</v>
      </c>
    </row>
    <row r="149" spans="2:9" x14ac:dyDescent="0.25">
      <c r="B149">
        <v>1</v>
      </c>
      <c r="C149" s="29" t="s">
        <v>331</v>
      </c>
      <c r="D149" s="7"/>
      <c r="E149" s="15"/>
      <c r="F149" s="8" t="s">
        <v>2</v>
      </c>
      <c r="G149" s="23"/>
      <c r="H149" s="22">
        <v>80000</v>
      </c>
      <c r="I149" s="21">
        <f t="shared" si="3"/>
        <v>4085530.540000001</v>
      </c>
    </row>
    <row r="150" spans="2:9" x14ac:dyDescent="0.25">
      <c r="B150">
        <v>1</v>
      </c>
      <c r="C150" s="29" t="s">
        <v>332</v>
      </c>
      <c r="D150" s="7"/>
      <c r="E150" s="15"/>
      <c r="F150" s="8" t="s">
        <v>2</v>
      </c>
      <c r="G150" s="23"/>
      <c r="H150" s="22">
        <v>30000</v>
      </c>
      <c r="I150" s="21">
        <f t="shared" si="3"/>
        <v>4055530.540000001</v>
      </c>
    </row>
    <row r="151" spans="2:9" x14ac:dyDescent="0.25">
      <c r="B151">
        <v>1</v>
      </c>
      <c r="C151" s="29" t="s">
        <v>332</v>
      </c>
      <c r="D151" s="7"/>
      <c r="E151" s="15"/>
      <c r="F151" s="8" t="s">
        <v>2</v>
      </c>
      <c r="G151" s="23"/>
      <c r="H151" s="22">
        <v>18000</v>
      </c>
      <c r="I151" s="21">
        <f t="shared" si="3"/>
        <v>4037530.540000001</v>
      </c>
    </row>
    <row r="152" spans="2:9" x14ac:dyDescent="0.25">
      <c r="B152">
        <v>1</v>
      </c>
      <c r="C152" s="29" t="s">
        <v>333</v>
      </c>
      <c r="D152" s="7" t="s">
        <v>104</v>
      </c>
      <c r="E152" s="15" t="s">
        <v>195</v>
      </c>
      <c r="F152" s="8" t="s">
        <v>47</v>
      </c>
      <c r="G152" s="23">
        <v>101236.96</v>
      </c>
      <c r="H152" s="22"/>
      <c r="I152" s="21">
        <f t="shared" si="3"/>
        <v>4138767.5000000009</v>
      </c>
    </row>
    <row r="153" spans="2:9" x14ac:dyDescent="0.25">
      <c r="B153">
        <v>1</v>
      </c>
      <c r="C153" s="29" t="s">
        <v>333</v>
      </c>
      <c r="D153" s="7" t="s">
        <v>105</v>
      </c>
      <c r="E153" s="15" t="s">
        <v>195</v>
      </c>
      <c r="F153" s="8" t="s">
        <v>47</v>
      </c>
      <c r="G153" s="23">
        <v>91854.2</v>
      </c>
      <c r="H153" s="22"/>
      <c r="I153" s="21">
        <f t="shared" si="3"/>
        <v>4230621.7000000011</v>
      </c>
    </row>
    <row r="154" spans="2:9" x14ac:dyDescent="0.25">
      <c r="B154">
        <v>1</v>
      </c>
      <c r="C154" s="29" t="s">
        <v>333</v>
      </c>
      <c r="D154" s="7" t="s">
        <v>106</v>
      </c>
      <c r="E154" s="15" t="s">
        <v>195</v>
      </c>
      <c r="F154" s="8" t="s">
        <v>47</v>
      </c>
      <c r="G154" s="23">
        <v>85379.4</v>
      </c>
      <c r="H154" s="22"/>
      <c r="I154" s="21">
        <f t="shared" si="3"/>
        <v>4316001.1000000015</v>
      </c>
    </row>
    <row r="155" spans="2:9" x14ac:dyDescent="0.25">
      <c r="B155">
        <v>1</v>
      </c>
      <c r="C155" s="29" t="s">
        <v>333</v>
      </c>
      <c r="D155" s="7" t="s">
        <v>107</v>
      </c>
      <c r="E155" s="15" t="s">
        <v>195</v>
      </c>
      <c r="F155" s="8" t="s">
        <v>10</v>
      </c>
      <c r="G155" s="23">
        <v>142934.39999999999</v>
      </c>
      <c r="H155" s="22"/>
      <c r="I155" s="21">
        <f t="shared" si="3"/>
        <v>4458935.5000000019</v>
      </c>
    </row>
    <row r="156" spans="2:9" x14ac:dyDescent="0.25">
      <c r="B156">
        <v>1</v>
      </c>
      <c r="C156" s="29" t="s">
        <v>334</v>
      </c>
      <c r="D156" s="7"/>
      <c r="E156" s="15"/>
      <c r="F156" s="8" t="s">
        <v>2</v>
      </c>
      <c r="G156" s="23"/>
      <c r="H156" s="22">
        <v>80000</v>
      </c>
      <c r="I156" s="21">
        <f t="shared" si="3"/>
        <v>4378935.5000000019</v>
      </c>
    </row>
    <row r="157" spans="2:9" x14ac:dyDescent="0.25">
      <c r="B157">
        <v>1</v>
      </c>
      <c r="C157" s="29" t="s">
        <v>335</v>
      </c>
      <c r="D157" s="7"/>
      <c r="E157" s="15"/>
      <c r="F157" s="8" t="s">
        <v>2</v>
      </c>
      <c r="G157" s="23"/>
      <c r="H157" s="22">
        <v>30000</v>
      </c>
      <c r="I157" s="21">
        <f t="shared" si="3"/>
        <v>4348935.5000000019</v>
      </c>
    </row>
    <row r="158" spans="2:9" x14ac:dyDescent="0.25">
      <c r="B158">
        <v>1</v>
      </c>
      <c r="C158" s="29" t="s">
        <v>214</v>
      </c>
      <c r="D158" s="7"/>
      <c r="E158" s="15"/>
      <c r="F158" s="8" t="s">
        <v>2</v>
      </c>
      <c r="G158" s="23"/>
      <c r="H158" s="22">
        <v>80000</v>
      </c>
      <c r="I158" s="21">
        <f t="shared" si="3"/>
        <v>4268935.5000000019</v>
      </c>
    </row>
    <row r="159" spans="2:9" x14ac:dyDescent="0.25">
      <c r="B159">
        <v>1</v>
      </c>
      <c r="C159" s="29" t="s">
        <v>336</v>
      </c>
      <c r="D159" s="7"/>
      <c r="E159" s="15"/>
      <c r="F159" s="8" t="s">
        <v>2</v>
      </c>
      <c r="G159" s="23"/>
      <c r="H159" s="22">
        <v>25000</v>
      </c>
      <c r="I159" s="21">
        <f t="shared" si="3"/>
        <v>4243935.5000000019</v>
      </c>
    </row>
    <row r="160" spans="2:9" x14ac:dyDescent="0.25">
      <c r="B160">
        <v>1</v>
      </c>
      <c r="C160" s="29" t="s">
        <v>337</v>
      </c>
      <c r="D160" s="7" t="s">
        <v>108</v>
      </c>
      <c r="E160" s="15" t="s">
        <v>109</v>
      </c>
      <c r="F160" s="8" t="s">
        <v>47</v>
      </c>
      <c r="G160" s="23">
        <f>557002.4-6338.4</f>
        <v>550664</v>
      </c>
      <c r="H160" s="22"/>
      <c r="I160" s="21">
        <f t="shared" si="3"/>
        <v>4794599.5000000019</v>
      </c>
    </row>
    <row r="161" spans="2:9" x14ac:dyDescent="0.25">
      <c r="B161">
        <v>1</v>
      </c>
      <c r="C161" s="29" t="s">
        <v>337</v>
      </c>
      <c r="D161" s="7"/>
      <c r="E161" s="15"/>
      <c r="F161" s="8" t="s">
        <v>2</v>
      </c>
      <c r="G161" s="23"/>
      <c r="H161" s="22">
        <v>20000</v>
      </c>
      <c r="I161" s="21">
        <f t="shared" si="3"/>
        <v>4774599.5000000019</v>
      </c>
    </row>
    <row r="162" spans="2:9" x14ac:dyDescent="0.25">
      <c r="B162">
        <v>1</v>
      </c>
      <c r="C162" s="29" t="s">
        <v>338</v>
      </c>
      <c r="D162" s="7"/>
      <c r="E162" s="15"/>
      <c r="F162" s="8" t="s">
        <v>2</v>
      </c>
      <c r="G162" s="23"/>
      <c r="H162" s="22">
        <v>80000</v>
      </c>
      <c r="I162" s="21">
        <f t="shared" si="3"/>
        <v>4694599.5000000019</v>
      </c>
    </row>
    <row r="163" spans="2:9" x14ac:dyDescent="0.25">
      <c r="B163">
        <v>1</v>
      </c>
      <c r="C163" s="29" t="s">
        <v>339</v>
      </c>
      <c r="D163" s="7"/>
      <c r="E163" s="15"/>
      <c r="F163" s="8" t="s">
        <v>2</v>
      </c>
      <c r="G163" s="23"/>
      <c r="H163" s="22">
        <v>30000</v>
      </c>
      <c r="I163" s="21">
        <f t="shared" si="3"/>
        <v>4664599.5000000019</v>
      </c>
    </row>
    <row r="164" spans="2:9" x14ac:dyDescent="0.25">
      <c r="B164">
        <v>1</v>
      </c>
      <c r="C164" s="29" t="s">
        <v>340</v>
      </c>
      <c r="D164" s="7"/>
      <c r="E164" s="15"/>
      <c r="F164" s="8" t="s">
        <v>2</v>
      </c>
      <c r="G164" s="23"/>
      <c r="H164" s="22">
        <v>80000</v>
      </c>
      <c r="I164" s="21">
        <f t="shared" si="3"/>
        <v>4584599.5000000019</v>
      </c>
    </row>
    <row r="165" spans="2:9" x14ac:dyDescent="0.25">
      <c r="B165">
        <v>1</v>
      </c>
      <c r="C165" s="29" t="s">
        <v>341</v>
      </c>
      <c r="D165" s="7"/>
      <c r="E165" s="15"/>
      <c r="F165" s="8" t="s">
        <v>2</v>
      </c>
      <c r="G165" s="23"/>
      <c r="H165" s="22">
        <v>30000</v>
      </c>
      <c r="I165" s="21">
        <f t="shared" si="3"/>
        <v>4554599.5000000019</v>
      </c>
    </row>
    <row r="166" spans="2:9" x14ac:dyDescent="0.25">
      <c r="B166">
        <v>1</v>
      </c>
      <c r="C166" s="29" t="s">
        <v>342</v>
      </c>
      <c r="D166" s="7"/>
      <c r="E166" s="15"/>
      <c r="F166" s="8" t="s">
        <v>2</v>
      </c>
      <c r="G166" s="23"/>
      <c r="H166" s="22">
        <v>80000</v>
      </c>
      <c r="I166" s="21">
        <f t="shared" si="3"/>
        <v>4474599.5000000019</v>
      </c>
    </row>
    <row r="167" spans="2:9" x14ac:dyDescent="0.25">
      <c r="B167">
        <v>1</v>
      </c>
      <c r="C167" s="29" t="s">
        <v>343</v>
      </c>
      <c r="D167" s="7"/>
      <c r="E167" s="15"/>
      <c r="F167" s="8" t="s">
        <v>2</v>
      </c>
      <c r="G167" s="23"/>
      <c r="H167" s="22">
        <v>18000</v>
      </c>
      <c r="I167" s="21">
        <f t="shared" si="3"/>
        <v>4456599.5000000019</v>
      </c>
    </row>
    <row r="168" spans="2:9" x14ac:dyDescent="0.25">
      <c r="B168">
        <v>1</v>
      </c>
      <c r="C168" s="29" t="s">
        <v>344</v>
      </c>
      <c r="D168" s="7"/>
      <c r="E168" s="15"/>
      <c r="F168" s="8" t="s">
        <v>2</v>
      </c>
      <c r="G168" s="23"/>
      <c r="H168" s="22">
        <v>30000</v>
      </c>
      <c r="I168" s="21">
        <f t="shared" si="3"/>
        <v>4426599.5000000019</v>
      </c>
    </row>
    <row r="169" spans="2:9" x14ac:dyDescent="0.25">
      <c r="B169">
        <v>1</v>
      </c>
      <c r="C169" s="29" t="s">
        <v>345</v>
      </c>
      <c r="D169" s="7"/>
      <c r="E169" s="15"/>
      <c r="F169" s="8" t="s">
        <v>2</v>
      </c>
      <c r="G169" s="23"/>
      <c r="H169" s="22">
        <v>80000</v>
      </c>
      <c r="I169" s="21">
        <f t="shared" si="3"/>
        <v>4346599.5000000019</v>
      </c>
    </row>
    <row r="170" spans="2:9" x14ac:dyDescent="0.25">
      <c r="B170">
        <v>1</v>
      </c>
      <c r="C170" s="29" t="s">
        <v>346</v>
      </c>
      <c r="D170" s="7"/>
      <c r="E170" s="15"/>
      <c r="F170" s="8" t="s">
        <v>2</v>
      </c>
      <c r="G170" s="23"/>
      <c r="H170" s="22">
        <v>30000</v>
      </c>
      <c r="I170" s="21">
        <f t="shared" si="3"/>
        <v>4316599.5000000019</v>
      </c>
    </row>
    <row r="171" spans="2:9" x14ac:dyDescent="0.25">
      <c r="B171">
        <v>1</v>
      </c>
      <c r="C171" s="30" t="s">
        <v>346</v>
      </c>
      <c r="D171" s="9" t="s">
        <v>110</v>
      </c>
      <c r="E171" s="16" t="s">
        <v>196</v>
      </c>
      <c r="F171" s="10" t="s">
        <v>47</v>
      </c>
      <c r="G171" s="24">
        <v>74718.399999999994</v>
      </c>
      <c r="H171" s="25"/>
      <c r="I171" s="21">
        <f t="shared" si="3"/>
        <v>4391317.9000000022</v>
      </c>
    </row>
    <row r="172" spans="2:9" x14ac:dyDescent="0.25">
      <c r="B172">
        <v>1</v>
      </c>
      <c r="C172" s="30" t="s">
        <v>346</v>
      </c>
      <c r="D172" s="9" t="s">
        <v>111</v>
      </c>
      <c r="E172" s="16" t="s">
        <v>196</v>
      </c>
      <c r="F172" s="10" t="s">
        <v>47</v>
      </c>
      <c r="G172" s="24">
        <v>243104.5</v>
      </c>
      <c r="H172" s="25"/>
      <c r="I172" s="21">
        <f t="shared" si="3"/>
        <v>4634422.4000000022</v>
      </c>
    </row>
    <row r="173" spans="2:9" x14ac:dyDescent="0.25">
      <c r="B173">
        <v>1</v>
      </c>
      <c r="C173" s="29" t="s">
        <v>347</v>
      </c>
      <c r="D173" s="7"/>
      <c r="E173" s="15"/>
      <c r="F173" s="8" t="s">
        <v>2</v>
      </c>
      <c r="G173" s="23"/>
      <c r="H173" s="22">
        <v>80000</v>
      </c>
      <c r="I173" s="21">
        <f t="shared" si="3"/>
        <v>4554422.4000000022</v>
      </c>
    </row>
    <row r="174" spans="2:9" x14ac:dyDescent="0.25">
      <c r="B174">
        <v>1</v>
      </c>
      <c r="C174" s="29" t="s">
        <v>348</v>
      </c>
      <c r="D174" s="7"/>
      <c r="E174" s="15"/>
      <c r="F174" s="8" t="s">
        <v>2</v>
      </c>
      <c r="G174" s="23"/>
      <c r="H174" s="22">
        <v>14000</v>
      </c>
      <c r="I174" s="21">
        <f t="shared" si="3"/>
        <v>4540422.4000000022</v>
      </c>
    </row>
    <row r="175" spans="2:9" x14ac:dyDescent="0.25">
      <c r="B175">
        <v>1</v>
      </c>
      <c r="C175" s="29" t="s">
        <v>349</v>
      </c>
      <c r="D175" s="7"/>
      <c r="E175" s="15"/>
      <c r="F175" s="8" t="s">
        <v>2</v>
      </c>
      <c r="G175" s="23"/>
      <c r="H175" s="22">
        <v>30000</v>
      </c>
      <c r="I175" s="21">
        <f t="shared" si="3"/>
        <v>4510422.4000000022</v>
      </c>
    </row>
    <row r="176" spans="2:9" x14ac:dyDescent="0.25">
      <c r="B176">
        <v>1</v>
      </c>
      <c r="C176" s="29" t="s">
        <v>350</v>
      </c>
      <c r="D176" s="7"/>
      <c r="E176" s="15"/>
      <c r="F176" s="8" t="s">
        <v>2</v>
      </c>
      <c r="G176" s="23"/>
      <c r="H176" s="22">
        <v>80000</v>
      </c>
      <c r="I176" s="21">
        <f t="shared" si="3"/>
        <v>4430422.4000000022</v>
      </c>
    </row>
    <row r="177" spans="2:9" x14ac:dyDescent="0.25">
      <c r="B177">
        <v>1</v>
      </c>
      <c r="C177" s="29" t="s">
        <v>351</v>
      </c>
      <c r="D177" s="7"/>
      <c r="E177" s="15"/>
      <c r="F177" s="8" t="s">
        <v>2</v>
      </c>
      <c r="G177" s="23"/>
      <c r="H177" s="22">
        <v>30000</v>
      </c>
      <c r="I177" s="21">
        <f t="shared" si="3"/>
        <v>4400422.4000000022</v>
      </c>
    </row>
    <row r="178" spans="2:9" x14ac:dyDescent="0.25">
      <c r="B178">
        <v>1</v>
      </c>
      <c r="C178" s="29" t="s">
        <v>352</v>
      </c>
      <c r="D178" s="7" t="s">
        <v>112</v>
      </c>
      <c r="E178" s="15"/>
      <c r="F178" s="8" t="s">
        <v>2</v>
      </c>
      <c r="G178" s="23"/>
      <c r="H178" s="22">
        <v>10000</v>
      </c>
      <c r="I178" s="21">
        <f t="shared" si="3"/>
        <v>4390422.4000000022</v>
      </c>
    </row>
    <row r="179" spans="2:9" x14ac:dyDescent="0.25">
      <c r="B179">
        <v>1</v>
      </c>
      <c r="C179" s="29" t="s">
        <v>352</v>
      </c>
      <c r="D179" s="7"/>
      <c r="E179" s="15"/>
      <c r="F179" s="8" t="s">
        <v>2</v>
      </c>
      <c r="G179" s="23"/>
      <c r="H179" s="22">
        <v>80000</v>
      </c>
      <c r="I179" s="21">
        <f t="shared" si="3"/>
        <v>4310422.4000000022</v>
      </c>
    </row>
    <row r="180" spans="2:9" x14ac:dyDescent="0.25">
      <c r="B180">
        <v>1</v>
      </c>
      <c r="C180" s="29" t="s">
        <v>352</v>
      </c>
      <c r="D180" s="7" t="s">
        <v>112</v>
      </c>
      <c r="E180" s="15"/>
      <c r="F180" s="8" t="s">
        <v>2</v>
      </c>
      <c r="G180" s="23"/>
      <c r="H180" s="22">
        <v>18000</v>
      </c>
      <c r="I180" s="21">
        <f t="shared" si="3"/>
        <v>4292422.4000000022</v>
      </c>
    </row>
    <row r="181" spans="2:9" x14ac:dyDescent="0.25">
      <c r="B181">
        <v>1</v>
      </c>
      <c r="C181" s="29" t="s">
        <v>353</v>
      </c>
      <c r="D181" s="7"/>
      <c r="E181" s="15"/>
      <c r="F181" s="8" t="s">
        <v>2</v>
      </c>
      <c r="G181" s="23"/>
      <c r="H181" s="22">
        <v>30000</v>
      </c>
      <c r="I181" s="21">
        <f t="shared" si="3"/>
        <v>4262422.4000000022</v>
      </c>
    </row>
    <row r="182" spans="2:9" x14ac:dyDescent="0.25">
      <c r="B182">
        <v>1</v>
      </c>
      <c r="C182" s="29" t="s">
        <v>354</v>
      </c>
      <c r="D182" s="7"/>
      <c r="E182" s="15"/>
      <c r="F182" s="8" t="s">
        <v>2</v>
      </c>
      <c r="G182" s="23"/>
      <c r="H182" s="22">
        <v>80000</v>
      </c>
      <c r="I182" s="21">
        <f t="shared" si="3"/>
        <v>4182422.4000000022</v>
      </c>
    </row>
    <row r="183" spans="2:9" x14ac:dyDescent="0.25">
      <c r="B183">
        <v>1</v>
      </c>
      <c r="C183" s="30" t="s">
        <v>355</v>
      </c>
      <c r="D183" s="9"/>
      <c r="E183" s="16"/>
      <c r="F183" s="8" t="s">
        <v>2</v>
      </c>
      <c r="G183" s="24"/>
      <c r="H183" s="25">
        <v>30000</v>
      </c>
      <c r="I183" s="21">
        <f t="shared" si="3"/>
        <v>4152422.4000000022</v>
      </c>
    </row>
    <row r="184" spans="2:9" x14ac:dyDescent="0.25">
      <c r="B184">
        <v>1</v>
      </c>
      <c r="C184" s="30" t="s">
        <v>356</v>
      </c>
      <c r="D184" s="9"/>
      <c r="E184" s="16"/>
      <c r="F184" s="8" t="s">
        <v>2</v>
      </c>
      <c r="G184" s="24"/>
      <c r="H184" s="25">
        <v>80000</v>
      </c>
      <c r="I184" s="21">
        <f t="shared" si="3"/>
        <v>4072422.4000000022</v>
      </c>
    </row>
    <row r="185" spans="2:9" x14ac:dyDescent="0.25">
      <c r="B185">
        <v>1</v>
      </c>
      <c r="C185" s="29" t="s">
        <v>357</v>
      </c>
      <c r="D185" s="7"/>
      <c r="E185" s="15"/>
      <c r="F185" s="8" t="s">
        <v>2</v>
      </c>
      <c r="G185" s="23"/>
      <c r="H185" s="22">
        <v>30000</v>
      </c>
      <c r="I185" s="21">
        <f t="shared" si="3"/>
        <v>4042422.4000000022</v>
      </c>
    </row>
    <row r="186" spans="2:9" x14ac:dyDescent="0.25">
      <c r="B186">
        <v>1</v>
      </c>
      <c r="C186" s="29" t="s">
        <v>358</v>
      </c>
      <c r="D186" s="7" t="s">
        <v>113</v>
      </c>
      <c r="E186" s="15" t="s">
        <v>197</v>
      </c>
      <c r="F186" s="8" t="s">
        <v>47</v>
      </c>
      <c r="G186" s="23">
        <v>52187.5</v>
      </c>
      <c r="H186" s="22"/>
      <c r="I186" s="21">
        <f t="shared" si="3"/>
        <v>4094609.9000000022</v>
      </c>
    </row>
    <row r="187" spans="2:9" x14ac:dyDescent="0.25">
      <c r="B187">
        <v>1</v>
      </c>
      <c r="C187" s="29" t="s">
        <v>358</v>
      </c>
      <c r="D187" s="7" t="s">
        <v>114</v>
      </c>
      <c r="E187" s="15" t="s">
        <v>197</v>
      </c>
      <c r="F187" s="8" t="s">
        <v>47</v>
      </c>
      <c r="G187" s="23">
        <v>34022.800000000003</v>
      </c>
      <c r="H187" s="22"/>
      <c r="I187" s="21">
        <f t="shared" si="3"/>
        <v>4128632.700000002</v>
      </c>
    </row>
    <row r="188" spans="2:9" x14ac:dyDescent="0.25">
      <c r="B188">
        <v>1</v>
      </c>
      <c r="C188" s="29" t="s">
        <v>359</v>
      </c>
      <c r="D188" s="7"/>
      <c r="E188" s="15"/>
      <c r="F188" s="8" t="s">
        <v>2</v>
      </c>
      <c r="G188" s="23"/>
      <c r="H188" s="22">
        <v>80000</v>
      </c>
      <c r="I188" s="21">
        <f t="shared" si="3"/>
        <v>4048632.700000002</v>
      </c>
    </row>
    <row r="189" spans="2:9" x14ac:dyDescent="0.25">
      <c r="B189">
        <v>1</v>
      </c>
      <c r="C189" s="29" t="s">
        <v>360</v>
      </c>
      <c r="D189" s="7"/>
      <c r="E189" s="15"/>
      <c r="F189" s="8" t="s">
        <v>2</v>
      </c>
      <c r="G189" s="23"/>
      <c r="H189" s="22">
        <v>30000</v>
      </c>
      <c r="I189" s="21">
        <f t="shared" si="3"/>
        <v>4018632.700000002</v>
      </c>
    </row>
    <row r="190" spans="2:9" x14ac:dyDescent="0.25">
      <c r="B190">
        <v>1</v>
      </c>
      <c r="C190" s="29" t="s">
        <v>361</v>
      </c>
      <c r="D190" s="7" t="s">
        <v>115</v>
      </c>
      <c r="E190" s="15" t="s">
        <v>198</v>
      </c>
      <c r="F190" s="8" t="s">
        <v>47</v>
      </c>
      <c r="G190" s="23">
        <f>95655.6-1044-24192-10224</f>
        <v>60195.600000000006</v>
      </c>
      <c r="H190" s="22"/>
      <c r="I190" s="21">
        <f t="shared" si="3"/>
        <v>4078828.3000000021</v>
      </c>
    </row>
    <row r="191" spans="2:9" x14ac:dyDescent="0.25">
      <c r="B191">
        <v>1</v>
      </c>
      <c r="C191" s="29" t="s">
        <v>361</v>
      </c>
      <c r="D191" s="7" t="s">
        <v>116</v>
      </c>
      <c r="E191" s="15" t="s">
        <v>198</v>
      </c>
      <c r="F191" s="8" t="s">
        <v>47</v>
      </c>
      <c r="G191" s="23">
        <f>21831-11232</f>
        <v>10599</v>
      </c>
      <c r="H191" s="22"/>
      <c r="I191" s="21">
        <f t="shared" si="3"/>
        <v>4089427.3000000021</v>
      </c>
    </row>
    <row r="192" spans="2:9" x14ac:dyDescent="0.25">
      <c r="B192">
        <v>1</v>
      </c>
      <c r="C192" s="29" t="s">
        <v>362</v>
      </c>
      <c r="D192" s="7"/>
      <c r="E192" s="15"/>
      <c r="F192" s="8" t="s">
        <v>2</v>
      </c>
      <c r="G192" s="23"/>
      <c r="H192" s="22">
        <v>30000</v>
      </c>
      <c r="I192" s="21">
        <f t="shared" si="3"/>
        <v>4059427.3000000021</v>
      </c>
    </row>
    <row r="193" spans="2:9" x14ac:dyDescent="0.25">
      <c r="B193">
        <v>1</v>
      </c>
      <c r="C193" s="29" t="s">
        <v>363</v>
      </c>
      <c r="D193" s="7"/>
      <c r="E193" s="15"/>
      <c r="F193" s="8" t="s">
        <v>2</v>
      </c>
      <c r="G193" s="23"/>
      <c r="H193" s="22">
        <v>50000</v>
      </c>
      <c r="I193" s="21">
        <f t="shared" si="3"/>
        <v>4009427.3000000021</v>
      </c>
    </row>
    <row r="194" spans="2:9" x14ac:dyDescent="0.25">
      <c r="B194">
        <v>1</v>
      </c>
      <c r="C194" s="29" t="s">
        <v>364</v>
      </c>
      <c r="D194" s="7" t="s">
        <v>112</v>
      </c>
      <c r="E194" s="15"/>
      <c r="F194" s="8" t="s">
        <v>2</v>
      </c>
      <c r="G194" s="23"/>
      <c r="H194" s="22">
        <v>18000</v>
      </c>
      <c r="I194" s="21">
        <f t="shared" si="3"/>
        <v>3991427.3000000021</v>
      </c>
    </row>
    <row r="195" spans="2:9" x14ac:dyDescent="0.25">
      <c r="B195">
        <v>1</v>
      </c>
      <c r="C195" s="29" t="s">
        <v>364</v>
      </c>
      <c r="D195" s="7"/>
      <c r="E195" s="15"/>
      <c r="F195" s="8" t="s">
        <v>2</v>
      </c>
      <c r="G195" s="23"/>
      <c r="H195" s="22">
        <v>30000</v>
      </c>
      <c r="I195" s="21">
        <f t="shared" si="3"/>
        <v>3961427.3000000021</v>
      </c>
    </row>
    <row r="196" spans="2:9" x14ac:dyDescent="0.25">
      <c r="B196">
        <v>1</v>
      </c>
      <c r="C196" s="29" t="s">
        <v>365</v>
      </c>
      <c r="D196" s="7" t="s">
        <v>117</v>
      </c>
      <c r="E196" s="15" t="s">
        <v>199</v>
      </c>
      <c r="F196" s="8" t="s">
        <v>47</v>
      </c>
      <c r="G196" s="23">
        <v>116854</v>
      </c>
      <c r="H196" s="22"/>
      <c r="I196" s="21">
        <f t="shared" si="3"/>
        <v>4078281.3000000021</v>
      </c>
    </row>
    <row r="197" spans="2:9" x14ac:dyDescent="0.25">
      <c r="B197">
        <v>1</v>
      </c>
      <c r="C197" s="29" t="s">
        <v>365</v>
      </c>
      <c r="D197" s="7"/>
      <c r="E197" s="15"/>
      <c r="F197" s="8" t="s">
        <v>2</v>
      </c>
      <c r="G197" s="23"/>
      <c r="H197" s="22">
        <v>80000</v>
      </c>
      <c r="I197" s="21">
        <f t="shared" si="3"/>
        <v>3998281.3000000021</v>
      </c>
    </row>
    <row r="198" spans="2:9" x14ac:dyDescent="0.25">
      <c r="B198">
        <v>1</v>
      </c>
      <c r="C198" s="29" t="s">
        <v>366</v>
      </c>
      <c r="D198" s="7"/>
      <c r="E198" s="15"/>
      <c r="F198" s="8" t="s">
        <v>2</v>
      </c>
      <c r="G198" s="23"/>
      <c r="H198" s="22">
        <v>25000</v>
      </c>
      <c r="I198" s="21">
        <f t="shared" si="3"/>
        <v>3973281.3000000021</v>
      </c>
    </row>
    <row r="199" spans="2:9" x14ac:dyDescent="0.25">
      <c r="B199">
        <v>1</v>
      </c>
      <c r="C199" s="29" t="s">
        <v>367</v>
      </c>
      <c r="D199" s="7"/>
      <c r="E199" s="15"/>
      <c r="F199" s="8" t="s">
        <v>2</v>
      </c>
      <c r="G199" s="23"/>
      <c r="H199" s="22">
        <v>60000</v>
      </c>
      <c r="I199" s="21">
        <f t="shared" si="3"/>
        <v>3913281.3000000021</v>
      </c>
    </row>
    <row r="200" spans="2:9" x14ac:dyDescent="0.25">
      <c r="B200">
        <v>1</v>
      </c>
      <c r="C200" s="29" t="s">
        <v>368</v>
      </c>
      <c r="D200" s="7"/>
      <c r="E200" s="15"/>
      <c r="F200" s="8" t="s">
        <v>2</v>
      </c>
      <c r="G200" s="23"/>
      <c r="H200" s="22">
        <v>20000</v>
      </c>
      <c r="I200" s="21">
        <f t="shared" si="3"/>
        <v>3893281.3000000021</v>
      </c>
    </row>
    <row r="201" spans="2:9" x14ac:dyDescent="0.25">
      <c r="B201">
        <v>1</v>
      </c>
      <c r="C201" s="29" t="s">
        <v>369</v>
      </c>
      <c r="D201" s="7"/>
      <c r="E201" s="15"/>
      <c r="F201" s="8" t="s">
        <v>2</v>
      </c>
      <c r="G201" s="23"/>
      <c r="H201" s="22">
        <v>50000</v>
      </c>
      <c r="I201" s="21">
        <f t="shared" si="3"/>
        <v>3843281.3000000021</v>
      </c>
    </row>
    <row r="202" spans="2:9" x14ac:dyDescent="0.25">
      <c r="B202">
        <v>1</v>
      </c>
      <c r="C202" s="29" t="s">
        <v>370</v>
      </c>
      <c r="D202" s="7"/>
      <c r="E202" s="15"/>
      <c r="F202" s="8" t="s">
        <v>2</v>
      </c>
      <c r="G202" s="23"/>
      <c r="H202" s="22">
        <v>65000</v>
      </c>
      <c r="I202" s="21">
        <f t="shared" si="3"/>
        <v>3778281.3000000021</v>
      </c>
    </row>
    <row r="203" spans="2:9" x14ac:dyDescent="0.25">
      <c r="B203">
        <v>1</v>
      </c>
      <c r="C203" s="29" t="s">
        <v>370</v>
      </c>
      <c r="D203" s="7"/>
      <c r="E203" s="15"/>
      <c r="F203" s="8" t="s">
        <v>2</v>
      </c>
      <c r="G203" s="23"/>
      <c r="H203" s="22">
        <v>20000</v>
      </c>
      <c r="I203" s="21">
        <f t="shared" si="3"/>
        <v>3758281.3000000021</v>
      </c>
    </row>
    <row r="204" spans="2:9" x14ac:dyDescent="0.25">
      <c r="B204">
        <v>1</v>
      </c>
      <c r="C204" s="29" t="s">
        <v>371</v>
      </c>
      <c r="D204" s="7"/>
      <c r="E204" s="15"/>
      <c r="F204" s="8" t="s">
        <v>2</v>
      </c>
      <c r="G204" s="23"/>
      <c r="H204" s="22">
        <v>13031.13</v>
      </c>
      <c r="I204" s="21">
        <f t="shared" si="3"/>
        <v>3745250.1700000023</v>
      </c>
    </row>
    <row r="205" spans="2:9" x14ac:dyDescent="0.25">
      <c r="B205">
        <v>1</v>
      </c>
      <c r="C205" s="29" t="s">
        <v>372</v>
      </c>
      <c r="D205" s="7"/>
      <c r="E205" s="15"/>
      <c r="F205" s="8" t="s">
        <v>2</v>
      </c>
      <c r="G205" s="23"/>
      <c r="H205" s="22">
        <v>50000</v>
      </c>
      <c r="I205" s="21">
        <f t="shared" si="3"/>
        <v>3695250.1700000023</v>
      </c>
    </row>
    <row r="206" spans="2:9" x14ac:dyDescent="0.25">
      <c r="B206">
        <v>1</v>
      </c>
      <c r="C206" s="29" t="s">
        <v>373</v>
      </c>
      <c r="D206" s="7"/>
      <c r="E206" s="15"/>
      <c r="F206" s="8" t="s">
        <v>2</v>
      </c>
      <c r="G206" s="23"/>
      <c r="H206" s="22">
        <v>30000</v>
      </c>
      <c r="I206" s="21">
        <f t="shared" si="3"/>
        <v>3665250.1700000023</v>
      </c>
    </row>
    <row r="207" spans="2:9" x14ac:dyDescent="0.25">
      <c r="B207">
        <v>1</v>
      </c>
      <c r="C207" s="29" t="s">
        <v>374</v>
      </c>
      <c r="D207" s="7"/>
      <c r="E207" s="15"/>
      <c r="F207" s="8" t="s">
        <v>2</v>
      </c>
      <c r="G207" s="23"/>
      <c r="H207" s="22">
        <v>18000</v>
      </c>
      <c r="I207" s="21">
        <f t="shared" si="3"/>
        <v>3647250.1700000023</v>
      </c>
    </row>
    <row r="208" spans="2:9" x14ac:dyDescent="0.25">
      <c r="B208">
        <v>1</v>
      </c>
      <c r="C208" s="29" t="s">
        <v>374</v>
      </c>
      <c r="D208" s="7"/>
      <c r="E208" s="15"/>
      <c r="F208" s="8" t="s">
        <v>2</v>
      </c>
      <c r="G208" s="23"/>
      <c r="H208" s="22">
        <v>30000</v>
      </c>
      <c r="I208" s="21">
        <f t="shared" si="3"/>
        <v>3617250.1700000023</v>
      </c>
    </row>
    <row r="209" spans="2:9" x14ac:dyDescent="0.25">
      <c r="B209">
        <v>1</v>
      </c>
      <c r="C209" s="29" t="s">
        <v>375</v>
      </c>
      <c r="D209" s="7"/>
      <c r="E209" s="15"/>
      <c r="F209" s="8" t="s">
        <v>2</v>
      </c>
      <c r="G209" s="23"/>
      <c r="H209" s="22">
        <v>40000</v>
      </c>
      <c r="I209" s="21">
        <f t="shared" si="3"/>
        <v>3577250.1700000023</v>
      </c>
    </row>
    <row r="210" spans="2:9" x14ac:dyDescent="0.25">
      <c r="B210">
        <v>1</v>
      </c>
      <c r="C210" s="29" t="s">
        <v>375</v>
      </c>
      <c r="D210" s="7"/>
      <c r="E210" s="15"/>
      <c r="F210" s="8" t="s">
        <v>2</v>
      </c>
      <c r="G210" s="23"/>
      <c r="H210" s="22">
        <v>30000</v>
      </c>
      <c r="I210" s="21">
        <f t="shared" si="3"/>
        <v>3547250.1700000023</v>
      </c>
    </row>
    <row r="211" spans="2:9" x14ac:dyDescent="0.25">
      <c r="B211">
        <v>1</v>
      </c>
      <c r="C211" s="29" t="s">
        <v>376</v>
      </c>
      <c r="D211" s="7" t="s">
        <v>118</v>
      </c>
      <c r="E211" s="15" t="s">
        <v>200</v>
      </c>
      <c r="F211" s="8" t="s">
        <v>119</v>
      </c>
      <c r="G211" s="23">
        <f>78800.8-5328-3480</f>
        <v>69992.800000000003</v>
      </c>
      <c r="H211" s="22"/>
      <c r="I211" s="21">
        <f t="shared" ref="I211:I270" si="4">I210+G211-H211</f>
        <v>3617242.9700000021</v>
      </c>
    </row>
    <row r="212" spans="2:9" x14ac:dyDescent="0.25">
      <c r="B212">
        <v>1</v>
      </c>
      <c r="C212" s="29" t="s">
        <v>377</v>
      </c>
      <c r="D212" s="7"/>
      <c r="E212" s="15"/>
      <c r="F212" s="8" t="s">
        <v>2</v>
      </c>
      <c r="G212" s="23"/>
      <c r="H212" s="22">
        <v>20000</v>
      </c>
      <c r="I212" s="21">
        <f t="shared" si="4"/>
        <v>3597242.9700000021</v>
      </c>
    </row>
    <row r="213" spans="2:9" x14ac:dyDescent="0.25">
      <c r="B213">
        <v>1</v>
      </c>
      <c r="C213" s="29" t="s">
        <v>378</v>
      </c>
      <c r="D213" s="7"/>
      <c r="E213" s="15"/>
      <c r="F213" s="8" t="s">
        <v>2</v>
      </c>
      <c r="G213" s="23"/>
      <c r="H213" s="22">
        <v>30000</v>
      </c>
      <c r="I213" s="21">
        <f t="shared" si="4"/>
        <v>3567242.9700000021</v>
      </c>
    </row>
    <row r="214" spans="2:9" x14ac:dyDescent="0.25">
      <c r="B214">
        <v>1</v>
      </c>
      <c r="C214" s="29" t="s">
        <v>379</v>
      </c>
      <c r="D214" s="7"/>
      <c r="E214" s="15"/>
      <c r="F214" s="8" t="s">
        <v>2</v>
      </c>
      <c r="G214" s="23"/>
      <c r="H214" s="22">
        <v>50000</v>
      </c>
      <c r="I214" s="21">
        <f t="shared" si="4"/>
        <v>3517242.9700000021</v>
      </c>
    </row>
    <row r="215" spans="2:9" x14ac:dyDescent="0.25">
      <c r="B215">
        <v>1</v>
      </c>
      <c r="C215" s="29" t="s">
        <v>379</v>
      </c>
      <c r="D215" s="7"/>
      <c r="E215" s="15"/>
      <c r="F215" s="8" t="s">
        <v>2</v>
      </c>
      <c r="G215" s="23"/>
      <c r="H215" s="22">
        <v>30000</v>
      </c>
      <c r="I215" s="21">
        <f t="shared" si="4"/>
        <v>3487242.9700000021</v>
      </c>
    </row>
    <row r="216" spans="2:9" x14ac:dyDescent="0.25">
      <c r="B216">
        <v>1</v>
      </c>
      <c r="C216" s="29" t="s">
        <v>380</v>
      </c>
      <c r="D216" s="7"/>
      <c r="E216" s="15"/>
      <c r="F216" s="8" t="s">
        <v>2</v>
      </c>
      <c r="G216" s="23"/>
      <c r="H216" s="22">
        <v>30000</v>
      </c>
      <c r="I216" s="21">
        <f t="shared" si="4"/>
        <v>3457242.9700000021</v>
      </c>
    </row>
    <row r="217" spans="2:9" x14ac:dyDescent="0.25">
      <c r="B217">
        <v>1</v>
      </c>
      <c r="C217" s="29" t="s">
        <v>380</v>
      </c>
      <c r="D217" s="7"/>
      <c r="E217" s="15"/>
      <c r="F217" s="8" t="s">
        <v>2</v>
      </c>
      <c r="G217" s="23"/>
      <c r="H217" s="22">
        <v>60000</v>
      </c>
      <c r="I217" s="21">
        <f t="shared" si="4"/>
        <v>3397242.9700000021</v>
      </c>
    </row>
    <row r="218" spans="2:9" x14ac:dyDescent="0.25">
      <c r="B218">
        <v>1</v>
      </c>
      <c r="C218" s="29" t="s">
        <v>381</v>
      </c>
      <c r="D218" s="7" t="s">
        <v>120</v>
      </c>
      <c r="E218" s="15" t="s">
        <v>201</v>
      </c>
      <c r="F218" s="8" t="s">
        <v>119</v>
      </c>
      <c r="G218" s="23">
        <f>108953.2-30240-20160</f>
        <v>58553.2</v>
      </c>
      <c r="H218" s="22"/>
      <c r="I218" s="21">
        <f t="shared" si="4"/>
        <v>3455796.1700000023</v>
      </c>
    </row>
    <row r="219" spans="2:9" x14ac:dyDescent="0.25">
      <c r="B219">
        <v>1</v>
      </c>
      <c r="C219" s="29" t="s">
        <v>382</v>
      </c>
      <c r="D219" s="7"/>
      <c r="E219" s="15"/>
      <c r="F219" s="8" t="s">
        <v>2</v>
      </c>
      <c r="G219" s="23"/>
      <c r="H219" s="22">
        <v>80000</v>
      </c>
      <c r="I219" s="21">
        <f t="shared" si="4"/>
        <v>3375796.1700000023</v>
      </c>
    </row>
    <row r="220" spans="2:9" x14ac:dyDescent="0.25">
      <c r="B220">
        <v>1</v>
      </c>
      <c r="C220" s="29" t="s">
        <v>383</v>
      </c>
      <c r="D220" s="7" t="s">
        <v>121</v>
      </c>
      <c r="E220" s="15" t="s">
        <v>202</v>
      </c>
      <c r="F220" s="8" t="s">
        <v>10</v>
      </c>
      <c r="G220" s="23">
        <v>8553.6</v>
      </c>
      <c r="H220" s="22"/>
      <c r="I220" s="21">
        <f t="shared" si="4"/>
        <v>3384349.7700000023</v>
      </c>
    </row>
    <row r="221" spans="2:9" x14ac:dyDescent="0.25">
      <c r="B221">
        <v>1</v>
      </c>
      <c r="C221" s="29" t="s">
        <v>384</v>
      </c>
      <c r="D221" s="7"/>
      <c r="E221" s="15"/>
      <c r="F221" s="8" t="s">
        <v>2</v>
      </c>
      <c r="G221" s="23"/>
      <c r="H221" s="22">
        <v>3031.13</v>
      </c>
      <c r="I221" s="21">
        <f t="shared" si="4"/>
        <v>3381318.6400000025</v>
      </c>
    </row>
    <row r="222" spans="2:9" x14ac:dyDescent="0.25">
      <c r="B222">
        <v>1</v>
      </c>
      <c r="C222" s="29" t="s">
        <v>384</v>
      </c>
      <c r="D222" s="7"/>
      <c r="E222" s="15"/>
      <c r="F222" s="8" t="s">
        <v>2</v>
      </c>
      <c r="G222" s="23"/>
      <c r="H222" s="22">
        <v>70700</v>
      </c>
      <c r="I222" s="21">
        <f t="shared" si="4"/>
        <v>3310618.6400000025</v>
      </c>
    </row>
    <row r="223" spans="2:9" x14ac:dyDescent="0.25">
      <c r="B223">
        <v>1</v>
      </c>
      <c r="C223" s="29" t="s">
        <v>385</v>
      </c>
      <c r="D223" s="7" t="s">
        <v>122</v>
      </c>
      <c r="E223" s="15" t="s">
        <v>203</v>
      </c>
      <c r="F223" s="8" t="s">
        <v>28</v>
      </c>
      <c r="G223" s="23">
        <f>42934.602-38622.6</f>
        <v>4312.0020000000004</v>
      </c>
      <c r="H223" s="22"/>
      <c r="I223" s="21">
        <f t="shared" si="4"/>
        <v>3314930.6420000023</v>
      </c>
    </row>
    <row r="224" spans="2:9" x14ac:dyDescent="0.25">
      <c r="B224">
        <v>1</v>
      </c>
      <c r="C224" s="29" t="s">
        <v>385</v>
      </c>
      <c r="D224" s="7" t="s">
        <v>123</v>
      </c>
      <c r="E224" s="15" t="s">
        <v>203</v>
      </c>
      <c r="F224" s="8" t="s">
        <v>28</v>
      </c>
      <c r="G224" s="23">
        <v>68155.199999999997</v>
      </c>
      <c r="H224" s="22"/>
      <c r="I224" s="21">
        <f t="shared" si="4"/>
        <v>3383085.8420000025</v>
      </c>
    </row>
    <row r="225" spans="2:9" x14ac:dyDescent="0.25">
      <c r="B225">
        <v>1</v>
      </c>
      <c r="C225" s="29" t="s">
        <v>385</v>
      </c>
      <c r="D225" s="7" t="s">
        <v>124</v>
      </c>
      <c r="E225" s="15" t="s">
        <v>203</v>
      </c>
      <c r="F225" s="8" t="s">
        <v>28</v>
      </c>
      <c r="G225" s="23">
        <v>65737</v>
      </c>
      <c r="H225" s="22"/>
      <c r="I225" s="21">
        <f t="shared" si="4"/>
        <v>3448822.8420000025</v>
      </c>
    </row>
    <row r="226" spans="2:9" x14ac:dyDescent="0.25">
      <c r="B226">
        <v>1</v>
      </c>
      <c r="C226" s="29" t="s">
        <v>385</v>
      </c>
      <c r="D226" s="7" t="s">
        <v>125</v>
      </c>
      <c r="E226" s="15" t="s">
        <v>203</v>
      </c>
      <c r="F226" s="8" t="s">
        <v>28</v>
      </c>
      <c r="G226" s="23">
        <v>29389.95</v>
      </c>
      <c r="H226" s="22"/>
      <c r="I226" s="21">
        <f t="shared" si="4"/>
        <v>3478212.7920000027</v>
      </c>
    </row>
    <row r="227" spans="2:9" x14ac:dyDescent="0.25">
      <c r="B227">
        <v>1</v>
      </c>
      <c r="C227" s="29" t="s">
        <v>385</v>
      </c>
      <c r="D227" s="7" t="s">
        <v>126</v>
      </c>
      <c r="E227" s="15" t="s">
        <v>203</v>
      </c>
      <c r="F227" s="8" t="s">
        <v>28</v>
      </c>
      <c r="G227" s="23">
        <f>61396.8-7362</f>
        <v>54034.8</v>
      </c>
      <c r="H227" s="22"/>
      <c r="I227" s="21">
        <f t="shared" si="4"/>
        <v>3532247.5920000025</v>
      </c>
    </row>
    <row r="228" spans="2:9" x14ac:dyDescent="0.25">
      <c r="B228">
        <v>1</v>
      </c>
      <c r="C228" s="29" t="s">
        <v>385</v>
      </c>
      <c r="D228" s="7" t="s">
        <v>127</v>
      </c>
      <c r="E228" s="15" t="s">
        <v>203</v>
      </c>
      <c r="F228" s="8" t="s">
        <v>12</v>
      </c>
      <c r="G228" s="23">
        <v>288225</v>
      </c>
      <c r="H228" s="22"/>
      <c r="I228" s="21">
        <f t="shared" si="4"/>
        <v>3820472.5920000025</v>
      </c>
    </row>
    <row r="229" spans="2:9" x14ac:dyDescent="0.25">
      <c r="B229">
        <v>1</v>
      </c>
      <c r="C229" s="29" t="s">
        <v>385</v>
      </c>
      <c r="D229" s="7"/>
      <c r="E229" s="15"/>
      <c r="F229" s="8" t="s">
        <v>2</v>
      </c>
      <c r="G229" s="23"/>
      <c r="H229" s="22">
        <v>69300</v>
      </c>
      <c r="I229" s="21">
        <f t="shared" si="4"/>
        <v>3751172.5920000025</v>
      </c>
    </row>
    <row r="230" spans="2:9" x14ac:dyDescent="0.25">
      <c r="B230">
        <v>1</v>
      </c>
      <c r="C230" s="29" t="s">
        <v>386</v>
      </c>
      <c r="D230" s="7"/>
      <c r="E230" s="15"/>
      <c r="F230" s="8" t="s">
        <v>2</v>
      </c>
      <c r="G230" s="23"/>
      <c r="H230" s="22">
        <v>80000</v>
      </c>
      <c r="I230" s="21">
        <f t="shared" si="4"/>
        <v>3671172.5920000025</v>
      </c>
    </row>
    <row r="231" spans="2:9" x14ac:dyDescent="0.25">
      <c r="B231">
        <v>1</v>
      </c>
      <c r="C231" s="30" t="s">
        <v>387</v>
      </c>
      <c r="D231" s="9"/>
      <c r="E231" s="16"/>
      <c r="F231" s="8" t="s">
        <v>2</v>
      </c>
      <c r="G231" s="24"/>
      <c r="H231" s="25">
        <v>80000</v>
      </c>
      <c r="I231" s="21">
        <f t="shared" si="4"/>
        <v>3591172.5920000025</v>
      </c>
    </row>
    <row r="232" spans="2:9" x14ac:dyDescent="0.25">
      <c r="B232">
        <v>1</v>
      </c>
      <c r="C232" s="30" t="s">
        <v>388</v>
      </c>
      <c r="D232" s="9"/>
      <c r="E232" s="16"/>
      <c r="F232" s="8" t="s">
        <v>2</v>
      </c>
      <c r="G232" s="24"/>
      <c r="H232" s="25">
        <v>30000</v>
      </c>
      <c r="I232" s="21">
        <f t="shared" si="4"/>
        <v>3561172.5920000025</v>
      </c>
    </row>
    <row r="233" spans="2:9" x14ac:dyDescent="0.25">
      <c r="B233">
        <v>1</v>
      </c>
      <c r="C233" s="30" t="s">
        <v>389</v>
      </c>
      <c r="D233" s="9"/>
      <c r="E233" s="16"/>
      <c r="F233" s="8" t="s">
        <v>2</v>
      </c>
      <c r="G233" s="24"/>
      <c r="H233" s="25">
        <v>80000</v>
      </c>
      <c r="I233" s="21">
        <f t="shared" si="4"/>
        <v>3481172.5920000025</v>
      </c>
    </row>
    <row r="234" spans="2:9" x14ac:dyDescent="0.25">
      <c r="B234">
        <v>1</v>
      </c>
      <c r="C234" s="4" t="s">
        <v>390</v>
      </c>
      <c r="D234" s="5" t="s">
        <v>128</v>
      </c>
      <c r="E234" s="14" t="s">
        <v>204</v>
      </c>
      <c r="F234" s="6" t="s">
        <v>28</v>
      </c>
      <c r="G234" s="21">
        <v>44443.6</v>
      </c>
      <c r="H234" s="22"/>
      <c r="I234" s="21">
        <f t="shared" si="4"/>
        <v>3525616.1920000026</v>
      </c>
    </row>
    <row r="235" spans="2:9" x14ac:dyDescent="0.25">
      <c r="B235">
        <v>1</v>
      </c>
      <c r="C235" s="29" t="s">
        <v>390</v>
      </c>
      <c r="D235" s="7" t="s">
        <v>129</v>
      </c>
      <c r="E235" s="15" t="s">
        <v>204</v>
      </c>
      <c r="F235" s="8" t="s">
        <v>28</v>
      </c>
      <c r="G235" s="23">
        <v>43884</v>
      </c>
      <c r="H235" s="22"/>
      <c r="I235" s="21">
        <f t="shared" si="4"/>
        <v>3569500.1920000026</v>
      </c>
    </row>
    <row r="236" spans="2:9" x14ac:dyDescent="0.25">
      <c r="B236">
        <v>1</v>
      </c>
      <c r="C236" s="29" t="s">
        <v>391</v>
      </c>
      <c r="D236" s="7" t="s">
        <v>130</v>
      </c>
      <c r="E236" s="15"/>
      <c r="F236" s="8" t="s">
        <v>2</v>
      </c>
      <c r="G236" s="23"/>
      <c r="H236" s="22">
        <v>30000</v>
      </c>
      <c r="I236" s="21">
        <f t="shared" si="4"/>
        <v>3539500.1920000026</v>
      </c>
    </row>
    <row r="237" spans="2:9" x14ac:dyDescent="0.25">
      <c r="B237">
        <v>1</v>
      </c>
      <c r="C237" s="29" t="s">
        <v>392</v>
      </c>
      <c r="D237" s="7" t="s">
        <v>131</v>
      </c>
      <c r="E237" s="15"/>
      <c r="F237" s="8" t="s">
        <v>2</v>
      </c>
      <c r="G237" s="23"/>
      <c r="H237" s="22">
        <v>80000</v>
      </c>
      <c r="I237" s="21">
        <f t="shared" si="4"/>
        <v>3459500.1920000026</v>
      </c>
    </row>
    <row r="238" spans="2:9" x14ac:dyDescent="0.25">
      <c r="B238">
        <v>1</v>
      </c>
      <c r="C238" s="29" t="s">
        <v>393</v>
      </c>
      <c r="D238" s="7" t="s">
        <v>132</v>
      </c>
      <c r="E238" s="15"/>
      <c r="F238" s="8" t="s">
        <v>2</v>
      </c>
      <c r="G238" s="23"/>
      <c r="H238" s="22">
        <v>30000</v>
      </c>
      <c r="I238" s="21">
        <f t="shared" si="4"/>
        <v>3429500.1920000026</v>
      </c>
    </row>
    <row r="239" spans="2:9" x14ac:dyDescent="0.25">
      <c r="B239">
        <v>1</v>
      </c>
      <c r="C239" s="29" t="s">
        <v>394</v>
      </c>
      <c r="D239" s="7" t="s">
        <v>133</v>
      </c>
      <c r="E239" s="15"/>
      <c r="F239" s="8" t="s">
        <v>2</v>
      </c>
      <c r="G239" s="23"/>
      <c r="H239" s="22">
        <v>80000</v>
      </c>
      <c r="I239" s="21">
        <f t="shared" si="4"/>
        <v>3349500.1920000026</v>
      </c>
    </row>
    <row r="240" spans="2:9" x14ac:dyDescent="0.25">
      <c r="B240">
        <v>1</v>
      </c>
      <c r="C240" s="29" t="s">
        <v>395</v>
      </c>
      <c r="D240" s="7" t="s">
        <v>134</v>
      </c>
      <c r="E240" s="15"/>
      <c r="F240" s="8" t="s">
        <v>2</v>
      </c>
      <c r="G240" s="23"/>
      <c r="H240" s="22">
        <v>10000</v>
      </c>
      <c r="I240" s="21">
        <f t="shared" si="4"/>
        <v>3339500.1920000026</v>
      </c>
    </row>
    <row r="241" spans="2:9" x14ac:dyDescent="0.25">
      <c r="B241">
        <v>1</v>
      </c>
      <c r="C241" s="29" t="s">
        <v>396</v>
      </c>
      <c r="D241" s="7" t="s">
        <v>135</v>
      </c>
      <c r="E241" s="15"/>
      <c r="F241" s="8" t="s">
        <v>2</v>
      </c>
      <c r="G241" s="23"/>
      <c r="H241" s="22">
        <v>18000</v>
      </c>
      <c r="I241" s="21">
        <f t="shared" si="4"/>
        <v>3321500.1920000026</v>
      </c>
    </row>
    <row r="242" spans="2:9" x14ac:dyDescent="0.25">
      <c r="B242">
        <v>1</v>
      </c>
      <c r="C242" s="29" t="s">
        <v>397</v>
      </c>
      <c r="D242" s="7" t="s">
        <v>136</v>
      </c>
      <c r="E242" s="15"/>
      <c r="F242" s="8" t="s">
        <v>2</v>
      </c>
      <c r="G242" s="23"/>
      <c r="H242" s="22">
        <v>30000</v>
      </c>
      <c r="I242" s="21">
        <f t="shared" si="4"/>
        <v>3291500.1920000026</v>
      </c>
    </row>
    <row r="243" spans="2:9" x14ac:dyDescent="0.25">
      <c r="B243">
        <v>1</v>
      </c>
      <c r="C243" s="30" t="s">
        <v>199</v>
      </c>
      <c r="D243" s="9">
        <v>1725</v>
      </c>
      <c r="E243" s="16"/>
      <c r="F243" s="10" t="s">
        <v>2</v>
      </c>
      <c r="G243" s="24"/>
      <c r="H243" s="25">
        <v>14000</v>
      </c>
      <c r="I243" s="21">
        <f t="shared" si="4"/>
        <v>3277500.1920000026</v>
      </c>
    </row>
    <row r="244" spans="2:9" x14ac:dyDescent="0.25">
      <c r="B244">
        <v>1</v>
      </c>
      <c r="C244" s="30" t="s">
        <v>398</v>
      </c>
      <c r="D244" s="9">
        <v>1728</v>
      </c>
      <c r="E244" s="16"/>
      <c r="F244" s="10" t="s">
        <v>2</v>
      </c>
      <c r="G244" s="24"/>
      <c r="H244" s="25">
        <v>35000</v>
      </c>
      <c r="I244" s="21">
        <f t="shared" si="4"/>
        <v>3242500.1920000026</v>
      </c>
    </row>
    <row r="245" spans="2:9" x14ac:dyDescent="0.25">
      <c r="B245">
        <v>1</v>
      </c>
      <c r="C245" s="30" t="s">
        <v>399</v>
      </c>
      <c r="D245" s="9">
        <v>1736</v>
      </c>
      <c r="E245" s="16"/>
      <c r="F245" s="10" t="s">
        <v>2</v>
      </c>
      <c r="G245" s="24"/>
      <c r="H245" s="25">
        <v>39000</v>
      </c>
      <c r="I245" s="21">
        <f t="shared" si="4"/>
        <v>3203500.1920000026</v>
      </c>
    </row>
    <row r="246" spans="2:9" x14ac:dyDescent="0.25">
      <c r="B246">
        <v>1</v>
      </c>
      <c r="C246" s="31" t="s">
        <v>400</v>
      </c>
      <c r="D246" s="9">
        <v>1737</v>
      </c>
      <c r="E246" s="16"/>
      <c r="F246" s="10" t="s">
        <v>2</v>
      </c>
      <c r="G246" s="24"/>
      <c r="H246" s="25">
        <v>40000</v>
      </c>
      <c r="I246" s="21">
        <f t="shared" si="4"/>
        <v>3163500.1920000026</v>
      </c>
    </row>
    <row r="247" spans="2:9" x14ac:dyDescent="0.25">
      <c r="B247">
        <v>1</v>
      </c>
      <c r="C247" s="29" t="s">
        <v>401</v>
      </c>
      <c r="D247" s="7" t="s">
        <v>137</v>
      </c>
      <c r="E247" s="15" t="s">
        <v>205</v>
      </c>
      <c r="F247" s="8" t="s">
        <v>47</v>
      </c>
      <c r="G247" s="23">
        <v>157286.39999999999</v>
      </c>
      <c r="H247" s="22"/>
      <c r="I247" s="21">
        <f t="shared" si="4"/>
        <v>3320786.5920000025</v>
      </c>
    </row>
    <row r="248" spans="2:9" x14ac:dyDescent="0.25">
      <c r="B248">
        <v>1</v>
      </c>
      <c r="C248" s="29" t="s">
        <v>401</v>
      </c>
      <c r="D248" s="7" t="s">
        <v>138</v>
      </c>
      <c r="E248" s="15"/>
      <c r="F248" s="8" t="s">
        <v>2</v>
      </c>
      <c r="G248" s="23"/>
      <c r="H248" s="22">
        <v>45000</v>
      </c>
      <c r="I248" s="21">
        <f t="shared" si="4"/>
        <v>3275786.5920000025</v>
      </c>
    </row>
    <row r="249" spans="2:9" x14ac:dyDescent="0.25">
      <c r="B249">
        <v>1</v>
      </c>
      <c r="C249" s="29" t="s">
        <v>402</v>
      </c>
      <c r="D249" s="7" t="s">
        <v>139</v>
      </c>
      <c r="E249" s="15"/>
      <c r="F249" s="8" t="s">
        <v>2</v>
      </c>
      <c r="G249" s="23"/>
      <c r="H249" s="22">
        <v>50000</v>
      </c>
      <c r="I249" s="21">
        <f t="shared" si="4"/>
        <v>3225786.5920000025</v>
      </c>
    </row>
    <row r="250" spans="2:9" x14ac:dyDescent="0.25">
      <c r="B250">
        <v>1</v>
      </c>
      <c r="C250" s="29" t="s">
        <v>403</v>
      </c>
      <c r="D250" s="7" t="s">
        <v>140</v>
      </c>
      <c r="E250" s="15"/>
      <c r="F250" s="8" t="s">
        <v>2</v>
      </c>
      <c r="G250" s="23"/>
      <c r="H250" s="22">
        <v>30000</v>
      </c>
      <c r="I250" s="21">
        <f t="shared" si="4"/>
        <v>3195786.5920000025</v>
      </c>
    </row>
    <row r="251" spans="2:9" x14ac:dyDescent="0.25">
      <c r="B251">
        <v>1</v>
      </c>
      <c r="C251" s="29" t="s">
        <v>404</v>
      </c>
      <c r="D251" s="7" t="s">
        <v>141</v>
      </c>
      <c r="E251" s="15" t="s">
        <v>206</v>
      </c>
      <c r="F251" s="8" t="s">
        <v>28</v>
      </c>
      <c r="G251" s="23">
        <v>50227.199999999997</v>
      </c>
      <c r="H251" s="22"/>
      <c r="I251" s="21">
        <f t="shared" si="4"/>
        <v>3246013.7920000027</v>
      </c>
    </row>
    <row r="252" spans="2:9" x14ac:dyDescent="0.25">
      <c r="B252">
        <v>1</v>
      </c>
      <c r="C252" s="29" t="s">
        <v>404</v>
      </c>
      <c r="D252" s="7" t="s">
        <v>142</v>
      </c>
      <c r="E252" s="15"/>
      <c r="F252" s="8" t="s">
        <v>2</v>
      </c>
      <c r="G252" s="23"/>
      <c r="H252" s="22">
        <v>30000</v>
      </c>
      <c r="I252" s="21">
        <f t="shared" si="4"/>
        <v>3216013.7920000027</v>
      </c>
    </row>
    <row r="253" spans="2:9" x14ac:dyDescent="0.25">
      <c r="B253">
        <v>1</v>
      </c>
      <c r="C253" s="29" t="s">
        <v>405</v>
      </c>
      <c r="D253" s="7" t="s">
        <v>143</v>
      </c>
      <c r="E253" s="15"/>
      <c r="F253" s="8" t="s">
        <v>2</v>
      </c>
      <c r="G253" s="23"/>
      <c r="H253" s="22">
        <v>59000</v>
      </c>
      <c r="I253" s="21">
        <f t="shared" si="4"/>
        <v>3157013.7920000027</v>
      </c>
    </row>
    <row r="254" spans="2:9" x14ac:dyDescent="0.25">
      <c r="B254">
        <v>1</v>
      </c>
      <c r="C254" s="29" t="s">
        <v>406</v>
      </c>
      <c r="D254" s="7" t="s">
        <v>144</v>
      </c>
      <c r="E254" s="15" t="s">
        <v>207</v>
      </c>
      <c r="F254" s="8" t="s">
        <v>47</v>
      </c>
      <c r="G254" s="23">
        <f>87864.8-6984</f>
        <v>80880.800000000003</v>
      </c>
      <c r="H254" s="22"/>
      <c r="I254" s="21">
        <f t="shared" si="4"/>
        <v>3237894.5920000025</v>
      </c>
    </row>
    <row r="255" spans="2:9" x14ac:dyDescent="0.25">
      <c r="B255">
        <v>1</v>
      </c>
      <c r="C255" s="29" t="s">
        <v>407</v>
      </c>
      <c r="D255" s="7" t="s">
        <v>145</v>
      </c>
      <c r="E255" s="15" t="s">
        <v>208</v>
      </c>
      <c r="F255" s="8" t="s">
        <v>28</v>
      </c>
      <c r="G255" s="23">
        <v>2030</v>
      </c>
      <c r="H255" s="22"/>
      <c r="I255" s="21">
        <f t="shared" si="4"/>
        <v>3239924.5920000025</v>
      </c>
    </row>
    <row r="256" spans="2:9" x14ac:dyDescent="0.25">
      <c r="B256">
        <v>1</v>
      </c>
      <c r="C256" s="29" t="s">
        <v>408</v>
      </c>
      <c r="D256" s="7" t="s">
        <v>146</v>
      </c>
      <c r="E256" s="15"/>
      <c r="F256" s="8" t="s">
        <v>2</v>
      </c>
      <c r="G256" s="23"/>
      <c r="H256" s="22">
        <v>18000</v>
      </c>
      <c r="I256" s="21">
        <f t="shared" si="4"/>
        <v>3221924.5920000025</v>
      </c>
    </row>
    <row r="257" spans="2:9" x14ac:dyDescent="0.25">
      <c r="B257">
        <v>1</v>
      </c>
      <c r="C257" s="29" t="s">
        <v>408</v>
      </c>
      <c r="D257" s="7" t="s">
        <v>147</v>
      </c>
      <c r="E257" s="15"/>
      <c r="F257" s="8" t="s">
        <v>2</v>
      </c>
      <c r="G257" s="23"/>
      <c r="H257" s="22">
        <v>80000</v>
      </c>
      <c r="I257" s="21">
        <f t="shared" si="4"/>
        <v>3141924.5920000025</v>
      </c>
    </row>
    <row r="258" spans="2:9" x14ac:dyDescent="0.25">
      <c r="B258">
        <v>1</v>
      </c>
      <c r="C258" s="29" t="s">
        <v>408</v>
      </c>
      <c r="D258" s="7" t="s">
        <v>148</v>
      </c>
      <c r="E258" s="15"/>
      <c r="F258" s="8" t="s">
        <v>2</v>
      </c>
      <c r="G258" s="23"/>
      <c r="H258" s="22">
        <v>18000</v>
      </c>
      <c r="I258" s="21">
        <f t="shared" si="4"/>
        <v>3123924.5920000025</v>
      </c>
    </row>
    <row r="259" spans="2:9" x14ac:dyDescent="0.25">
      <c r="B259">
        <v>1</v>
      </c>
      <c r="C259" s="29" t="s">
        <v>409</v>
      </c>
      <c r="D259" s="7" t="s">
        <v>149</v>
      </c>
      <c r="E259" s="15"/>
      <c r="F259" s="8" t="s">
        <v>2</v>
      </c>
      <c r="G259" s="23"/>
      <c r="H259" s="22">
        <v>40000</v>
      </c>
      <c r="I259" s="21">
        <f t="shared" si="4"/>
        <v>3083924.5920000025</v>
      </c>
    </row>
    <row r="260" spans="2:9" x14ac:dyDescent="0.25">
      <c r="B260">
        <v>1</v>
      </c>
      <c r="C260" s="30" t="s">
        <v>410</v>
      </c>
      <c r="D260" s="9">
        <v>1772</v>
      </c>
      <c r="E260" s="16"/>
      <c r="F260" s="10" t="s">
        <v>2</v>
      </c>
      <c r="G260" s="24"/>
      <c r="H260" s="25">
        <v>80000</v>
      </c>
      <c r="I260" s="21">
        <f t="shared" si="4"/>
        <v>3003924.5920000025</v>
      </c>
    </row>
    <row r="261" spans="2:9" x14ac:dyDescent="0.25">
      <c r="B261">
        <v>1</v>
      </c>
      <c r="C261" s="30" t="s">
        <v>411</v>
      </c>
      <c r="D261" s="9">
        <v>1778</v>
      </c>
      <c r="E261" s="16"/>
      <c r="F261" s="10" t="s">
        <v>2</v>
      </c>
      <c r="G261" s="24"/>
      <c r="H261" s="25">
        <v>40000</v>
      </c>
      <c r="I261" s="21">
        <f t="shared" si="4"/>
        <v>2963924.5920000025</v>
      </c>
    </row>
    <row r="262" spans="2:9" x14ac:dyDescent="0.25">
      <c r="B262">
        <v>1</v>
      </c>
      <c r="C262" s="30" t="s">
        <v>150</v>
      </c>
      <c r="D262" s="9" t="s">
        <v>151</v>
      </c>
      <c r="E262" s="16" t="s">
        <v>209</v>
      </c>
      <c r="F262" s="10" t="s">
        <v>47</v>
      </c>
      <c r="G262" s="24">
        <v>69104</v>
      </c>
      <c r="H262" s="25"/>
      <c r="I262" s="21">
        <f t="shared" si="4"/>
        <v>3033028.5920000025</v>
      </c>
    </row>
    <row r="263" spans="2:9" x14ac:dyDescent="0.25">
      <c r="B263">
        <v>1</v>
      </c>
      <c r="C263" s="29" t="s">
        <v>412</v>
      </c>
      <c r="D263" s="7" t="s">
        <v>152</v>
      </c>
      <c r="E263" s="15" t="s">
        <v>210</v>
      </c>
      <c r="F263" s="8" t="s">
        <v>10</v>
      </c>
      <c r="G263" s="23">
        <v>68256</v>
      </c>
      <c r="H263" s="22"/>
      <c r="I263" s="21">
        <f t="shared" si="4"/>
        <v>3101284.5920000025</v>
      </c>
    </row>
    <row r="264" spans="2:9" x14ac:dyDescent="0.25">
      <c r="B264">
        <v>1</v>
      </c>
      <c r="C264" s="29" t="s">
        <v>413</v>
      </c>
      <c r="D264" s="7" t="s">
        <v>153</v>
      </c>
      <c r="E264" s="15" t="s">
        <v>211</v>
      </c>
      <c r="F264" s="8" t="s">
        <v>47</v>
      </c>
      <c r="G264" s="23">
        <v>369893.6</v>
      </c>
      <c r="H264" s="22"/>
      <c r="I264" s="21">
        <f t="shared" si="4"/>
        <v>3471178.1920000026</v>
      </c>
    </row>
    <row r="265" spans="2:9" x14ac:dyDescent="0.25">
      <c r="B265">
        <v>1</v>
      </c>
      <c r="C265" s="29" t="s">
        <v>414</v>
      </c>
      <c r="D265" s="7" t="s">
        <v>154</v>
      </c>
      <c r="E265" s="15" t="s">
        <v>212</v>
      </c>
      <c r="F265" s="8" t="s">
        <v>28</v>
      </c>
      <c r="G265" s="23">
        <v>83594.399999999994</v>
      </c>
      <c r="H265" s="22"/>
      <c r="I265" s="21">
        <f t="shared" si="4"/>
        <v>3554772.5920000025</v>
      </c>
    </row>
    <row r="266" spans="2:9" x14ac:dyDescent="0.25">
      <c r="B266">
        <v>1</v>
      </c>
      <c r="C266" s="29" t="s">
        <v>414</v>
      </c>
      <c r="D266" s="7" t="s">
        <v>155</v>
      </c>
      <c r="E266" s="15" t="s">
        <v>212</v>
      </c>
      <c r="F266" s="8" t="s">
        <v>28</v>
      </c>
      <c r="G266" s="23">
        <v>126557.35</v>
      </c>
      <c r="H266" s="22"/>
      <c r="I266" s="21">
        <f t="shared" si="4"/>
        <v>3681329.9420000026</v>
      </c>
    </row>
    <row r="267" spans="2:9" x14ac:dyDescent="0.25">
      <c r="B267">
        <v>1</v>
      </c>
      <c r="C267" s="29" t="s">
        <v>414</v>
      </c>
      <c r="D267" s="7" t="s">
        <v>156</v>
      </c>
      <c r="E267" s="15" t="s">
        <v>212</v>
      </c>
      <c r="F267" s="8" t="s">
        <v>28</v>
      </c>
      <c r="G267" s="23">
        <v>59192.800000000003</v>
      </c>
      <c r="H267" s="22"/>
      <c r="I267" s="21">
        <f t="shared" si="4"/>
        <v>3740522.7420000024</v>
      </c>
    </row>
    <row r="268" spans="2:9" x14ac:dyDescent="0.25">
      <c r="B268">
        <v>1</v>
      </c>
      <c r="C268" s="29" t="s">
        <v>414</v>
      </c>
      <c r="D268" s="7" t="s">
        <v>157</v>
      </c>
      <c r="E268" s="15" t="s">
        <v>212</v>
      </c>
      <c r="F268" s="8" t="s">
        <v>28</v>
      </c>
      <c r="G268" s="23">
        <v>45554</v>
      </c>
      <c r="H268" s="22"/>
      <c r="I268" s="21">
        <f t="shared" si="4"/>
        <v>3786076.7420000024</v>
      </c>
    </row>
    <row r="269" spans="2:9" x14ac:dyDescent="0.25">
      <c r="B269">
        <v>1</v>
      </c>
      <c r="C269" s="29" t="s">
        <v>415</v>
      </c>
      <c r="D269" s="7" t="s">
        <v>158</v>
      </c>
      <c r="E269" s="15" t="s">
        <v>213</v>
      </c>
      <c r="F269" s="8" t="s">
        <v>10</v>
      </c>
      <c r="G269" s="23">
        <v>12480</v>
      </c>
      <c r="H269" s="22"/>
      <c r="I269" s="21">
        <f t="shared" si="4"/>
        <v>3798556.7420000024</v>
      </c>
    </row>
    <row r="270" spans="2:9" x14ac:dyDescent="0.25">
      <c r="B270">
        <v>1</v>
      </c>
      <c r="C270" s="29" t="s">
        <v>416</v>
      </c>
      <c r="D270" s="7" t="s">
        <v>159</v>
      </c>
      <c r="E270" s="15" t="s">
        <v>214</v>
      </c>
      <c r="F270" s="8" t="s">
        <v>28</v>
      </c>
      <c r="G270" s="23">
        <v>12950</v>
      </c>
      <c r="H270" s="22"/>
      <c r="I270" s="21">
        <f t="shared" si="4"/>
        <v>3811506.7420000024</v>
      </c>
    </row>
  </sheetData>
  <pageMargins left="0.7" right="0.7" top="0.75" bottom="0.75" header="0.3" footer="0.3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Marlon Apat</dc:creator>
  <cp:lastModifiedBy>Marlon Apat</cp:lastModifiedBy>
  <dcterms:created xsi:type="dcterms:W3CDTF">2026-02-04T07:53:05Z</dcterms:created>
  <dcterms:modified xsi:type="dcterms:W3CDTF">2026-02-04T09:00:59Z</dcterms:modified>
</cp:coreProperties>
</file>